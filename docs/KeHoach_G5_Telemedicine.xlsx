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47822B3B-2B28-D144-97C3-33F4A05590AD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<sst xmlns="http://schemas.openxmlformats.org/spreadsheetml/2006/main" count="705" uniqueCount="413">
  <si>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</si>
  <si>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</si>
  <si>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</si>
  <si>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</si>
  <si>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</si>
  <si>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</si>
  <si>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</si>
  <si>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</si>
  <si>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</si>
  <si>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</si>
  <si>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</si>
  <si>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</si>
  <si>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</si>
  <si>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</si>
  <si>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</si>
  <si>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</si>
  <si>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</si>
  <si>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</si>
  <si>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</si>
  <si>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</si>
  <si>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</si>
  <si>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</si>
  <si>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</si>
  <si>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</si>
  <si>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</si>
  <si>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</si>
  <si>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</si>
  <si>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</si>
  <si>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</si>
  <si>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</si>
  <si>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</si>
  <si>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</si>
  <si>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</si>
  <si>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</si>
  <si>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</si>
  <si>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</si>
  <si>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</si>
  <si>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</si>
  <si>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</si>
  <si>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</si>
  <si>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</si>
  <si>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</si>
  <si>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</si>
  <si>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</si>
  <si>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</si>
  <si>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</si>
  <si>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</si>
  <si>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</si>
  <si>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</si>
  <si>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</si>
  <si>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</si>
  <si>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</si>
  <si>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</si>
  <si>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</si>
  <si>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</si>
  <si>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</si>
  <si>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</si>
  <si>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</si>
  <si>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</si>
  <si>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</si>
  <si>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</si>
  <si>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</si>
  <si>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</si>
  <si>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</si>
  <si>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</si>
  <si>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</si>
  <si>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</si>
  <si>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</si>
  <si>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</si>
  <si>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</si>
  <si>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</si>
  <si>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</si>
  <si>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</si>
  <si>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</si>
  <si>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</si>
  <si>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</si>
  <si>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</si>
  <si>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</si>
  <si>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</si>
  <si>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</si>
  <si>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</si>
  <si>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</si>
  <si>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</si>
  <si>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</si>
  <si>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</si>
  <si>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</si>
  <si>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</si>
  <si>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</si>
  <si>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</si>
  <si>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</si>
  <si>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</si>
  <si>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</si>
  <si>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</si>
  <si>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</si>
  <si>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</si>
  <si>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</si>
  <si>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</si>
  <si>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</si>
  <si>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</si>
  <si>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</si>
  <si>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</si>
  <si>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</si>
  <si>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</si>
  <si>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</si>
  <si>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</si>
  <si>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</si>
  <si>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</si>
  <si>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</si>
  <si>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</si>
  <si>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</si>
  <si>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</si>
  <si>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</si>
  <si>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</si>
  <si>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</si>
  <si>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</si>
  <si>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</si>
  <si>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</si>
  <si>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</si>
  <si>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</si>
  <si>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</si>
  <si>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</si>
  <si>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</si>
  <si>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</si>
  <si>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</si>
  <si>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</si>
  <si>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</si>
  <si>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</si>
  <si>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</si>
  <si>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</si>
  <si>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</si>
  <si>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</si>
  <si>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</si>
  <si>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</si>
  <si>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</si>
  <si>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</si>
  <si>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</si>
  <si>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</si>
  <si>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</si>
  <si>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</si>
  <si>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</si>
  <si>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</si>
  <si>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</si>
  <si>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</si>
  <si>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</si>
  <si>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</si>
  <si>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</si>
  <si>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</si>
  <si>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</si>
  <si>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</si>
  <si>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</si>
  <si>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</si>
  <si>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</si>
  <si>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</si>
  <si>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</si>
  <si>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</si>
  <si>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</si>
  <si>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</si>
  <si>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</si>
  <si>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</si>
  <si>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</si>
  <si>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</si>
  <si>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</si>
  <si>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</si>
  <si>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</si>
  <si>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</si>
  <si>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</si>
  <si>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</si>
  <si>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</si>
  <si>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</si>
  <si>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</si>
  <si>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</si>
  <si>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</si>
  <si>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</si>
  <si>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</si>
  <si>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</si>
  <si>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</si>
  <si>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</si>
  <si>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</si>
  <si>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</si>
  <si>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</si>
  <si>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</si>
  <si>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</si>
  <si>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</si>
  <si>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</si>
  <si>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</si>
  <si>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</si>
  <si>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</si>
  <si>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</si>
  <si>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</si>
  <si>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</si>
  <si>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</si>
  <si>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</si>
  <si>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</si>
  <si>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</si>
  <si>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</si>
  <si>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</si>
  <si>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</si>
  <si>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</si>
  <si>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</si>
  <si>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</si>
  <si>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</si>
  <si>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</si>
  <si>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</si>
  <si>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</si>
  <si>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</si>
  <si>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</si>
  <si>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</si>
  <si>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</si>
  <si>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</si>
  <si>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</si>
  <si>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</si>
  <si>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</si>
  <si>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</si>
  <si>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</si>
  <si>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</si>
  <si>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</si>
  <si>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</si>
  <si>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</si>
  <si>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</si>
  <si>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</si>
  <si>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</si>
  <si>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</si>
  <si>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</si>
  <si>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</si>
  <si>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</si>
  <si>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</si>
  <si>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</si>
  <si>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</si>
  <si>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</si>
  <si>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</si>
  <si>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</si>
  <si>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</si>
  <si>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</si>
  <si>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</si>
  <si>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</si>
  <si>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</si>
  <si>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</si>
  <si>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</si>
  <si>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</si>
  <si>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</si>
  <si>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</si>
  <si>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</si>
  <si>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</si>
  <si>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</si>
  <si>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</si>
  <si>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</si>
  <si>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</si>
  <si>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</si>
  <si>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</si>
  <si>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</si>
  <si>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</si>
  <si>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</si>
  <si>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</si>
  <si>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</si>
  <si>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</si>
  <si>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</si>
  <si>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</si>
  <si>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</si>
  <si>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</si>
  <si>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</si>
  <si>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</si>
  <si>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</si>
  <si>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</si>
  <si>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</si>
  <si>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</si>
  <si>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</si>
  <si>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</si>
  <si>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</si>
  <si>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</si>
  <si>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</si>
  <si>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</si>
  <si>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</si>
  <si>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</si>
  <si>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</si>
  <si>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</si>
  <si>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</si>
  <si>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</si>
  <si>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</si>
  <si>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</si>
  <si>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</si>
  <si>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</si>
  <si>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</si>
  <si>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</si>
  <si>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</si>
  <si>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</si>
  <si>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</si>
  <si>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</si>
  <si>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</si>
  <si>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</si>
  <si>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</si>
  <si>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</si>
  <si>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</si>
  <si>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</si>
  <si>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</si>
  <si>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</si>
  <si>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</si>
  <si>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</si>
  <si>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</si>
  <si>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</si>
  <si>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</si>
  <si>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</si>
  <si>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</si>
  <si>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</si>
  <si>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</si>
  <si>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</si>
  <si>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</si>
  <si>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</si>
  <si>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</si>
  <si>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</si>
  <si>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</si>
  <si>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</si>
  <si>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</si>
  <si>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</si>
  <si>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</si>
  <si>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</si>
  <si>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</si>
  <si>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</si>
  <si>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</si>
  <si>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</si>
  <si>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</si>
  <si>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</si>
  <si>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</si>
  <si>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</si>
  <si>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</si>
  <si>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</si>
  <si>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</si>
  <si>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</si>
  <si>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</si>
  <si>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</si>
  <si>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</si>
  <si>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</si>
  <si>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</si>
  <si>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</si>
  <si>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</si>
  <si>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</si>
  <si>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</si>
  <si>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</si>
  <si>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</si>
  <si>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</si>
  <si>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</si>
  <si>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</si>
  <si>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</si>
  <si>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</si>
  <si>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</si>
  <si>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</si>
  <si>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</si>
  <si>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</si>
  <si>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</si>
  <si>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</si>
  <si>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</si>
  <si>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</si>
  <si>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</si>
  <si>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</si>
  <si>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</si>
  <si>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</si>
  <si>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</si>
  <si>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</si>
  <si>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</si>
  <si>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</si>
  <si>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</si>
  <si>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</si>
  <si>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</si>
  <si>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</si>
  <si>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</si>
  <si>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</si>
  <si>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</si>
  <si>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</si>
  <si>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</si>
  <si>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</si>
  <si>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</si>
  <si>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</si>
  <si>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</si>
  <si>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</si>
  <si>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</si>
  <si>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</si>
  <si>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</si>
  <si>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</si>
  <si>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</si>
  <si>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</si>
  <si>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</si>
  <si>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</si>
  <si>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</si>
  <si>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</si>
  <si>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</si>
  <si>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</si>
  <si>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</si>
  <si>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</si>
  <si>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</si>
  <si>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</si>
  <si>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</si>
  <si>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</si>
  <si>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</si>
  <si>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</si>
  <si>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</si>
  <si>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</si>
  <si>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</si>
  <si>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</si>
  <si>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</si>
  <si>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</si>
  <si>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</si>
  <si>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</si>
  <si>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</si>
  <si>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</si>
  <si>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</si>
  <si>
    <t>docs/6_chuan-hoa/T30_ReviewCheo.md – đã rà phần B (Khôi, 27/10): L01 sửa T20 (FK kép giấy – bệnh nhân); L02–L04 diễn giải trigger đã xác nhận, ghi vào T08 mục 5; ERD B không phải sửa; chờ A, C (T19, T21, T26, T28), mục 3 (T29); C1 vai_tro/loai_nv chờ nhóm họp</t>
  </si>
  <si>
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</si>
  <si>
    <t>docs/INT1313_TX_G5_DeTai05_Telemedicine_v2.1.docx – mục Giới thiệu tóm tắt, 1, 1.2, 2, 2.1 hoàn chỉnh, có ERD tổng; đã nộp 21/10/2026</t>
  </si>
  <si>
    <t>docs/INT1313_TX_G5_DeTai05_Telemedicine_v2.2.docx (nháp, 27/10) – trang bìa v2.2; đã điền phần B mục 2.2 (bước ánh xạ, 8C cho LICH_HEN, lược đồ, khóa ngoại), 2.3 (FD, khóa, chứng minh BCNF), 3 (4 bảng, miền giá trị); phần A, C để chữ xám chờ T19, T21, T23, T25, T26, T28, T29; còn Hình 2.2, review chéo, nộp</t>
  </si>
  <si>
    <t>Phần B đã vào docs/…_v2.2.docx (27/10): 4.1.1 trích DDL lich_hen + kiểu dữ liệu; 4.1.2 chỉ mục; 4.1.3 v_lich_hen_hom_nay; 4.1.4 5 trigger; 4.1.6 sửa cơ chế BR-B03, B04, B06, B07, B09, B10 theo cài đặt; 4.2.1–4.2.2 Q05–Q08 (yêu cầu, SQL, cách hoạt động); 5.1 18 ca tiêu biểu từ tests_B.sql. Chờ A, C (T32, T34, T36, T38, T40, T42), seed T39 (kết quả mẫu), T44 hiệu năng, T45 RBAC; nộp v3</t>
  </si>
  <si>
    <t>Phần B: sql/tests_B.sql – 49 ca tự kiểm (38 bị từ chối, 10 hợp lệ, 1 view), ROLLBACK cuối; 49/49 đạt trên PG16 với bảng A giả lập (27/10). Đăng Khoa gộp vào tests.sql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</si>
  <si>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</si>
  <si>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
Hữu Khoa, Đăng Khoa: điền phần A, C vào docs/…_v2.2.docx (chỗ chữ xám); Hữu Khoa vẽ Hình 2.2 lược đồ quan hệ
Đăng Khoa: gộp tests_B.sql vào tests.sql (T43); T39 seed để có kết quả mẫu Q05–Q08</t>
  </si>
  <si>
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</si>
</sst>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206</v>
      </c>
    </row>
    <row r="2" spans="1:6" x14ac:dyDescent="0.2">
      <c r="A2" s="2" t="s">
        <v>207</v>
      </c>
    </row>
    <row r="4" spans="1:6" x14ac:dyDescent="0.2">
      <c r="A4" s="3" t="s">
        <v>208</v>
      </c>
      <c r="B4" s="4"/>
      <c r="C4" s="2" t="s">
        <v>209</v>
      </c>
    </row>
    <row r="6" spans="1:6" ht="16" customHeight="1" x14ac:dyDescent="0.2">
      <c r="A6" s="5" t="s">
        <v>210</v>
      </c>
    </row>
    <row r="7" spans="1:6" x14ac:dyDescent="0.2">
      <c r="A7" s="6" t="s">
        <v>211</v>
      </c>
      <c r="B7" s="6" t="s">
        <v>212</v>
      </c>
      <c r="C7" s="6" t="s">
        <v>213</v>
      </c>
      <c r="D7" s="6" t="s">
        <v>214</v>
      </c>
      <c r="E7" s="6" t="s">
        <v>215</v>
      </c>
      <c r="F7" s="6" t="s">
        <v>216</v>
      </c>
    </row>
    <row r="8" spans="1:6" ht="45" customHeight="1" x14ac:dyDescent="0.2">
      <c r="A8" s="7" t="s">
        <v>22</v>
      </c>
      <c r="B8" s="8" t="s">
        <v>217</v>
      </c>
      <c r="C8" s="7" t="s">
        <v>218</v>
      </c>
      <c r="D8" s="8" t="s">
        <v>219</v>
      </c>
      <c r="E8" s="8" t="s">
        <v>220</v>
      </c>
      <c r="F8" s="8" t="s">
        <v>221</v>
      </c>
    </row>
    <row r="9" spans="1:6" ht="45" customHeight="1" x14ac:dyDescent="0.2">
      <c r="A9" s="7" t="s">
        <v>34</v>
      </c>
      <c r="B9" s="8" t="s">
        <v>222</v>
      </c>
      <c r="C9" s="7" t="s">
        <v>223</v>
      </c>
      <c r="D9" s="8" t="s">
        <v>224</v>
      </c>
      <c r="E9" s="8" t="s">
        <v>225</v>
      </c>
      <c r="F9" s="8" t="s">
        <v>226</v>
      </c>
    </row>
    <row r="10" spans="1:6" ht="45" customHeight="1" x14ac:dyDescent="0.2">
      <c r="A10" s="7" t="s">
        <v>28</v>
      </c>
      <c r="B10" s="8" t="s">
        <v>227</v>
      </c>
      <c r="C10" s="7" t="s">
        <v>228</v>
      </c>
      <c r="D10" s="8" t="s">
        <v>229</v>
      </c>
      <c r="E10" s="8" t="s">
        <v>230</v>
      </c>
      <c r="F10" s="8" t="s">
        <v>231</v>
      </c>
    </row>
    <row r="11" spans="1:6" ht="30" customHeight="1" x14ac:dyDescent="0.2">
      <c r="A11" s="42" t="s">
        <v>232</v>
      </c>
      <c r="B11" s="43"/>
      <c r="C11" s="43"/>
      <c r="D11" s="43"/>
      <c r="E11" s="43"/>
      <c r="F11" s="43"/>
    </row>
    <row r="13" spans="1:6" ht="16" customHeight="1" x14ac:dyDescent="0.2">
      <c r="A13" s="5" t="s">
        <v>233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234</v>
      </c>
      <c r="E14" s="6" t="s">
        <v>235</v>
      </c>
      <c r="F14" s="6" t="s">
        <v>236</v>
      </c>
    </row>
    <row r="15" spans="1:6" ht="28" customHeight="1" x14ac:dyDescent="0.2">
      <c r="A15" s="9" t="s">
        <v>15</v>
      </c>
      <c r="B15" s="10" t="s">
        <v>237</v>
      </c>
      <c r="C15" s="9" t="s">
        <v>238</v>
      </c>
      <c r="D15" s="10" t="s">
        <v>239</v>
      </c>
      <c r="E15" s="10" t="s">
        <v>240</v>
      </c>
      <c r="F15" s="9" t="s">
        <v>241</v>
      </c>
    </row>
    <row r="16" spans="1:6" ht="28" customHeight="1" x14ac:dyDescent="0.2">
      <c r="A16" s="11" t="s">
        <v>62</v>
      </c>
      <c r="B16" s="12" t="s">
        <v>242</v>
      </c>
      <c r="C16" s="11" t="s">
        <v>243</v>
      </c>
      <c r="D16" s="12" t="s">
        <v>244</v>
      </c>
      <c r="E16" s="12" t="s">
        <v>245</v>
      </c>
      <c r="F16" s="11" t="s">
        <v>246</v>
      </c>
    </row>
    <row r="17" spans="1:6" ht="28" customHeight="1" x14ac:dyDescent="0.2">
      <c r="A17" s="13" t="s">
        <v>90</v>
      </c>
      <c r="B17" s="14" t="s">
        <v>247</v>
      </c>
      <c r="C17" s="13" t="s">
        <v>248</v>
      </c>
      <c r="D17" s="14" t="s">
        <v>249</v>
      </c>
      <c r="E17" s="14" t="s">
        <v>250</v>
      </c>
      <c r="F17" s="13" t="s">
        <v>251</v>
      </c>
    </row>
    <row r="18" spans="1:6" ht="28" customHeight="1" x14ac:dyDescent="0.2">
      <c r="A18" s="15" t="s">
        <v>133</v>
      </c>
      <c r="B18" s="16" t="s">
        <v>252</v>
      </c>
      <c r="C18" s="15" t="s">
        <v>253</v>
      </c>
      <c r="D18" s="16" t="s">
        <v>254</v>
      </c>
      <c r="E18" s="16" t="s">
        <v>255</v>
      </c>
      <c r="F18" s="15" t="s">
        <v>256</v>
      </c>
    </row>
    <row r="19" spans="1:6" ht="28" customHeight="1" x14ac:dyDescent="0.2">
      <c r="A19" s="17" t="s">
        <v>179</v>
      </c>
      <c r="B19" s="18" t="s">
        <v>257</v>
      </c>
      <c r="C19" s="17" t="s">
        <v>258</v>
      </c>
      <c r="D19" s="18" t="s">
        <v>259</v>
      </c>
      <c r="E19" s="18" t="s">
        <v>260</v>
      </c>
      <c r="F19" s="17" t="s">
        <v>261</v>
      </c>
    </row>
    <row r="21" spans="1:6" ht="16" customHeight="1" x14ac:dyDescent="0.2">
      <c r="A21" s="5" t="s">
        <v>262</v>
      </c>
    </row>
    <row r="22" spans="1:6" x14ac:dyDescent="0.2">
      <c r="A22" s="3" t="s">
        <v>263</v>
      </c>
      <c r="B22" s="44" t="s">
        <v>264</v>
      </c>
      <c r="C22" s="43"/>
      <c r="D22" s="43"/>
      <c r="E22" s="43"/>
      <c r="F22" s="43"/>
    </row>
    <row r="23" spans="1:6" x14ac:dyDescent="0.2">
      <c r="A23" s="3" t="s">
        <v>265</v>
      </c>
      <c r="B23" s="44" t="s">
        <v>266</v>
      </c>
      <c r="C23" s="43"/>
      <c r="D23" s="43"/>
      <c r="E23" s="43"/>
      <c r="F23" s="43"/>
    </row>
    <row r="24" spans="1:6" x14ac:dyDescent="0.2">
      <c r="A24" s="3" t="s">
        <v>267</v>
      </c>
      <c r="B24" s="44" t="s">
        <v>268</v>
      </c>
      <c r="C24" s="43"/>
      <c r="D24" s="43"/>
      <c r="E24" s="43"/>
      <c r="F24" s="43"/>
    </row>
    <row r="25" spans="1:6" x14ac:dyDescent="0.2">
      <c r="A25" s="3" t="s">
        <v>269</v>
      </c>
      <c r="B25" s="44" t="s">
        <v>270</v>
      </c>
      <c r="C25" s="43"/>
      <c r="D25" s="43"/>
      <c r="E25" s="43"/>
      <c r="F25" s="43"/>
    </row>
    <row r="26" spans="1:6" x14ac:dyDescent="0.2">
      <c r="A26" s="3" t="s">
        <v>271</v>
      </c>
      <c r="B26" s="44" t="s">
        <v>272</v>
      </c>
      <c r="C26" s="43"/>
      <c r="D26" s="43"/>
      <c r="E26" s="43"/>
      <c r="F26" s="43"/>
    </row>
    <row r="28" spans="1:6" ht="16" customHeight="1" x14ac:dyDescent="0.2">
      <c r="A28" s="5" t="s">
        <v>273</v>
      </c>
    </row>
    <row r="29" spans="1:6" x14ac:dyDescent="0.2">
      <c r="A29" s="44" t="s">
        <v>274</v>
      </c>
      <c r="B29" s="43"/>
      <c r="C29" s="43"/>
      <c r="D29" s="43"/>
      <c r="E29" s="43"/>
      <c r="F29" s="43"/>
    </row>
    <row r="30" spans="1:6" x14ac:dyDescent="0.2">
      <c r="A30" s="44" t="s">
        <v>275</v>
      </c>
      <c r="B30" s="43"/>
      <c r="C30" s="43"/>
      <c r="D30" s="43"/>
      <c r="E30" s="43"/>
      <c r="F30" s="43"/>
    </row>
    <row r="31" spans="1:6" x14ac:dyDescent="0.2">
      <c r="A31" s="44" t="s">
        <v>276</v>
      </c>
      <c r="B31" s="43"/>
      <c r="C31" s="43"/>
      <c r="D31" s="43"/>
      <c r="E31" s="43"/>
      <c r="F31" s="43"/>
    </row>
    <row r="32" spans="1:6" x14ac:dyDescent="0.2">
      <c r="A32" s="44" t="s">
        <v>277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42" activePane="bottomRight" state="frozen"/>
      <selection pane="topRight"/>
      <selection pane="bottomLeft"/>
      <selection pane="bottomRight" activeCell="F50" sqref="F50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30</v>
      </c>
      <c r="K21" s="21">
        <v>1</v>
      </c>
      <c r="L21" s="22" t="s">
        <v>406</v>
      </c>
    </row>
    <row r="22" spans="1:12" ht="28" customHeight="1" x14ac:dyDescent="0.2">
      <c r="A22" s="13" t="s">
        <v>89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90</v>
      </c>
      <c r="F22" s="14" t="s">
        <v>91</v>
      </c>
      <c r="G22" s="13" t="s">
        <v>34</v>
      </c>
      <c r="H22" s="13" t="s">
        <v>17</v>
      </c>
      <c r="I22" s="14" t="s">
        <v>92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93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90</v>
      </c>
      <c r="F23" s="14" t="s">
        <v>94</v>
      </c>
      <c r="G23" s="13" t="s">
        <v>34</v>
      </c>
      <c r="H23" s="13" t="s">
        <v>28</v>
      </c>
      <c r="I23" s="14" t="s">
        <v>95</v>
      </c>
      <c r="J23" s="20" t="s">
        <v>19</v>
      </c>
      <c r="K23" s="21">
        <v>0</v>
      </c>
      <c r="L23" s="22"/>
    </row>
    <row r="24" spans="1:12" ht="126" x14ac:dyDescent="0.2">
      <c r="A24" s="13" t="s">
        <v>96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90</v>
      </c>
      <c r="F24" s="14" t="s">
        <v>97</v>
      </c>
      <c r="G24" s="13" t="s">
        <v>22</v>
      </c>
      <c r="H24" s="13" t="s">
        <v>34</v>
      </c>
      <c r="I24" s="14" t="s">
        <v>98</v>
      </c>
      <c r="J24" s="20" t="s">
        <v>30</v>
      </c>
      <c r="K24" s="21">
        <v>1</v>
      </c>
      <c r="L24" s="22" t="s">
        <v>398</v>
      </c>
    </row>
    <row r="25" spans="1:12" x14ac:dyDescent="0.2">
      <c r="A25" s="13" t="s">
        <v>99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90</v>
      </c>
      <c r="F25" s="14" t="s">
        <v>100</v>
      </c>
      <c r="G25" s="13" t="s">
        <v>28</v>
      </c>
      <c r="H25" s="13" t="s">
        <v>22</v>
      </c>
      <c r="I25" s="14" t="s">
        <v>101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102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90</v>
      </c>
      <c r="F26" s="14" t="s">
        <v>103</v>
      </c>
      <c r="G26" s="13" t="s">
        <v>28</v>
      </c>
      <c r="H26" s="13" t="s">
        <v>22</v>
      </c>
      <c r="I26" s="14" t="s">
        <v>104</v>
      </c>
      <c r="J26" s="20" t="s">
        <v>19</v>
      </c>
      <c r="K26" s="21">
        <v>0</v>
      </c>
      <c r="L26" s="22"/>
    </row>
    <row r="27" spans="1:12" x14ac:dyDescent="0.2">
      <c r="A27" s="13" t="s">
        <v>105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90</v>
      </c>
      <c r="F27" s="14" t="s">
        <v>106</v>
      </c>
      <c r="G27" s="13" t="s">
        <v>34</v>
      </c>
      <c r="H27" s="13" t="s">
        <v>28</v>
      </c>
      <c r="I27" s="14" t="s">
        <v>107</v>
      </c>
      <c r="J27" s="20" t="s">
        <v>19</v>
      </c>
      <c r="K27" s="21">
        <v>0</v>
      </c>
      <c r="L27" s="22"/>
    </row>
    <row r="28" spans="1:12" ht="98" x14ac:dyDescent="0.2">
      <c r="A28" s="13" t="s">
        <v>108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90</v>
      </c>
      <c r="F28" s="14" t="s">
        <v>109</v>
      </c>
      <c r="G28" s="13" t="s">
        <v>22</v>
      </c>
      <c r="H28" s="13" t="s">
        <v>28</v>
      </c>
      <c r="I28" s="14" t="s">
        <v>110</v>
      </c>
      <c r="J28" s="20" t="s">
        <v>30</v>
      </c>
      <c r="K28" s="21">
        <v>1</v>
      </c>
      <c r="L28" s="22" t="s">
        <v>399</v>
      </c>
    </row>
    <row r="29" spans="1:12" x14ac:dyDescent="0.2">
      <c r="A29" s="13" t="s">
        <v>111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90</v>
      </c>
      <c r="F29" s="14" t="s">
        <v>112</v>
      </c>
      <c r="G29" s="13" t="s">
        <v>28</v>
      </c>
      <c r="H29" s="13" t="s">
        <v>34</v>
      </c>
      <c r="I29" s="14" t="s">
        <v>113</v>
      </c>
      <c r="J29" s="20" t="s">
        <v>19</v>
      </c>
      <c r="K29" s="21">
        <v>0</v>
      </c>
      <c r="L29" s="22"/>
    </row>
    <row r="30" spans="1:12" x14ac:dyDescent="0.2">
      <c r="A30" s="13" t="s">
        <v>114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90</v>
      </c>
      <c r="F30" s="14" t="s">
        <v>115</v>
      </c>
      <c r="G30" s="13" t="s">
        <v>34</v>
      </c>
      <c r="H30" s="13" t="s">
        <v>28</v>
      </c>
      <c r="I30" s="14" t="s">
        <v>116</v>
      </c>
      <c r="J30" s="20" t="s">
        <v>19</v>
      </c>
      <c r="K30" s="21">
        <v>0</v>
      </c>
      <c r="L30" s="22"/>
    </row>
    <row r="31" spans="1:12" ht="98" x14ac:dyDescent="0.2">
      <c r="A31" s="13" t="s">
        <v>117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90</v>
      </c>
      <c r="F31" s="14" t="s">
        <v>118</v>
      </c>
      <c r="G31" s="13" t="s">
        <v>22</v>
      </c>
      <c r="H31" s="13" t="s">
        <v>28</v>
      </c>
      <c r="I31" s="14" t="s">
        <v>119</v>
      </c>
      <c r="J31" s="20" t="s">
        <v>30</v>
      </c>
      <c r="K31" s="21">
        <v>1</v>
      </c>
      <c r="L31" s="22" t="s">
        <v>400</v>
      </c>
    </row>
    <row r="32" spans="1:12" x14ac:dyDescent="0.2">
      <c r="A32" s="13" t="s">
        <v>120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90</v>
      </c>
      <c r="F32" s="14" t="s">
        <v>121</v>
      </c>
      <c r="G32" s="13" t="s">
        <v>28</v>
      </c>
      <c r="H32" s="13" t="s">
        <v>34</v>
      </c>
      <c r="I32" s="14" t="s">
        <v>122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123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90</v>
      </c>
      <c r="F33" s="14" t="s">
        <v>124</v>
      </c>
      <c r="G33" s="13" t="s">
        <v>34</v>
      </c>
      <c r="H33" s="13" t="s">
        <v>17</v>
      </c>
      <c r="I33" s="14" t="s">
        <v>125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126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90</v>
      </c>
      <c r="F34" s="14" t="s">
        <v>127</v>
      </c>
      <c r="G34" s="13" t="s">
        <v>28</v>
      </c>
      <c r="H34" s="13" t="s">
        <v>17</v>
      </c>
      <c r="I34" s="14" t="s">
        <v>128</v>
      </c>
      <c r="J34" s="20" t="s">
        <v>24</v>
      </c>
      <c r="K34" s="21">
        <v>0.3</v>
      </c>
      <c r="L34" s="22" t="s">
        <v>404</v>
      </c>
    </row>
    <row r="35" spans="1:12" ht="154" x14ac:dyDescent="0.2">
      <c r="A35" s="13" t="s">
        <v>129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90</v>
      </c>
      <c r="F35" s="14" t="s">
        <v>130</v>
      </c>
      <c r="G35" s="13" t="s">
        <v>22</v>
      </c>
      <c r="H35" s="13" t="s">
        <v>17</v>
      </c>
      <c r="I35" s="14" t="s">
        <v>131</v>
      </c>
      <c r="J35" s="20" t="s">
        <v>24</v>
      </c>
      <c r="K35" s="21">
        <v>0.3</v>
      </c>
      <c r="L35" s="22" t="s">
        <v>407</v>
      </c>
    </row>
    <row r="36" spans="1:12" x14ac:dyDescent="0.2">
      <c r="A36" s="15" t="s">
        <v>132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133</v>
      </c>
      <c r="F36" s="16" t="s">
        <v>134</v>
      </c>
      <c r="G36" s="15" t="s">
        <v>34</v>
      </c>
      <c r="H36" s="15" t="s">
        <v>28</v>
      </c>
      <c r="I36" s="16" t="s">
        <v>135</v>
      </c>
      <c r="J36" s="20" t="s">
        <v>19</v>
      </c>
      <c r="K36" s="21">
        <v>0</v>
      </c>
      <c r="L36" s="22"/>
    </row>
    <row r="37" spans="1:12" ht="140" x14ac:dyDescent="0.2">
      <c r="A37" s="15" t="s">
        <v>136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133</v>
      </c>
      <c r="F37" s="16" t="s">
        <v>137</v>
      </c>
      <c r="G37" s="15" t="s">
        <v>22</v>
      </c>
      <c r="H37" s="15" t="s">
        <v>34</v>
      </c>
      <c r="I37" s="16" t="s">
        <v>138</v>
      </c>
      <c r="J37" s="20" t="s">
        <v>30</v>
      </c>
      <c r="K37" s="21">
        <v>1</v>
      </c>
      <c r="L37" s="22" t="s">
        <v>402</v>
      </c>
    </row>
    <row r="38" spans="1:12" x14ac:dyDescent="0.2">
      <c r="A38" s="15" t="s">
        <v>139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133</v>
      </c>
      <c r="F38" s="16" t="s">
        <v>140</v>
      </c>
      <c r="G38" s="15" t="s">
        <v>28</v>
      </c>
      <c r="H38" s="15" t="s">
        <v>22</v>
      </c>
      <c r="I38" s="16" t="s">
        <v>141</v>
      </c>
      <c r="J38" s="20" t="s">
        <v>19</v>
      </c>
      <c r="K38" s="21">
        <v>0</v>
      </c>
      <c r="L38" s="22"/>
    </row>
    <row r="39" spans="1:12" x14ac:dyDescent="0.2">
      <c r="A39" s="15" t="s">
        <v>142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133</v>
      </c>
      <c r="F39" s="16" t="s">
        <v>143</v>
      </c>
      <c r="G39" s="15" t="s">
        <v>34</v>
      </c>
      <c r="H39" s="15" t="s">
        <v>17</v>
      </c>
      <c r="I39" s="16" t="s">
        <v>144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145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133</v>
      </c>
      <c r="F40" s="16" t="s">
        <v>146</v>
      </c>
      <c r="G40" s="15" t="s">
        <v>34</v>
      </c>
      <c r="H40" s="15" t="s">
        <v>28</v>
      </c>
      <c r="I40" s="16" t="s">
        <v>147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148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133</v>
      </c>
      <c r="F41" s="16" t="s">
        <v>149</v>
      </c>
      <c r="G41" s="15" t="s">
        <v>22</v>
      </c>
      <c r="H41" s="15" t="s">
        <v>28</v>
      </c>
      <c r="I41" s="16" t="s">
        <v>150</v>
      </c>
      <c r="J41" s="20" t="s">
        <v>30</v>
      </c>
      <c r="K41" s="21">
        <v>1</v>
      </c>
      <c r="L41" s="22" t="s">
        <v>403</v>
      </c>
    </row>
    <row r="42" spans="1:12" ht="28" customHeight="1" x14ac:dyDescent="0.2">
      <c r="A42" s="15" t="s">
        <v>151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133</v>
      </c>
      <c r="F42" s="16" t="s">
        <v>152</v>
      </c>
      <c r="G42" s="15" t="s">
        <v>28</v>
      </c>
      <c r="H42" s="15" t="s">
        <v>34</v>
      </c>
      <c r="I42" s="16" t="s">
        <v>153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154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133</v>
      </c>
      <c r="F43" s="16" t="s">
        <v>155</v>
      </c>
      <c r="G43" s="15" t="s">
        <v>28</v>
      </c>
      <c r="H43" s="15" t="s">
        <v>17</v>
      </c>
      <c r="I43" s="16" t="s">
        <v>156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157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133</v>
      </c>
      <c r="F44" s="16" t="s">
        <v>158</v>
      </c>
      <c r="G44" s="15" t="s">
        <v>34</v>
      </c>
      <c r="H44" s="15" t="s">
        <v>22</v>
      </c>
      <c r="I44" s="16" t="s">
        <v>159</v>
      </c>
      <c r="J44" s="20" t="s">
        <v>19</v>
      </c>
      <c r="K44" s="21">
        <v>0</v>
      </c>
      <c r="L44" s="22"/>
    </row>
    <row r="45" spans="1:12" ht="182" x14ac:dyDescent="0.2">
      <c r="A45" s="15" t="s">
        <v>160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133</v>
      </c>
      <c r="F45" s="16" t="s">
        <v>161</v>
      </c>
      <c r="G45" s="15" t="s">
        <v>22</v>
      </c>
      <c r="H45" s="15" t="s">
        <v>28</v>
      </c>
      <c r="I45" s="16" t="s">
        <v>162</v>
      </c>
      <c r="J45" s="20" t="s">
        <v>30</v>
      </c>
      <c r="K45" s="21">
        <v>1</v>
      </c>
      <c r="L45" s="22" t="s">
        <v>405</v>
      </c>
    </row>
    <row r="46" spans="1:12" x14ac:dyDescent="0.2">
      <c r="A46" s="15" t="s">
        <v>163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133</v>
      </c>
      <c r="F46" s="16" t="s">
        <v>164</v>
      </c>
      <c r="G46" s="15" t="s">
        <v>28</v>
      </c>
      <c r="H46" s="15" t="s">
        <v>34</v>
      </c>
      <c r="I46" s="16" t="s">
        <v>165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166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133</v>
      </c>
      <c r="F47" s="16" t="s">
        <v>167</v>
      </c>
      <c r="G47" s="15" t="s">
        <v>28</v>
      </c>
      <c r="H47" s="15" t="s">
        <v>17</v>
      </c>
      <c r="I47" s="16" t="s">
        <v>168</v>
      </c>
      <c r="J47" s="20" t="s">
        <v>19</v>
      </c>
      <c r="K47" s="21">
        <v>0</v>
      </c>
      <c r="L47" s="22" t="s">
        <v>409</v>
      </c>
    </row>
    <row r="48" spans="1:12" x14ac:dyDescent="0.2">
      <c r="A48" s="15" t="s">
        <v>169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133</v>
      </c>
      <c r="F48" s="16" t="s">
        <v>170</v>
      </c>
      <c r="G48" s="15" t="s">
        <v>28</v>
      </c>
      <c r="H48" s="15" t="s">
        <v>34</v>
      </c>
      <c r="I48" s="16" t="s">
        <v>171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172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133</v>
      </c>
      <c r="F49" s="16" t="s">
        <v>173</v>
      </c>
      <c r="G49" s="15" t="s">
        <v>28</v>
      </c>
      <c r="H49" s="15" t="s">
        <v>22</v>
      </c>
      <c r="I49" s="16" t="s">
        <v>174</v>
      </c>
      <c r="J49" s="20" t="s">
        <v>19</v>
      </c>
      <c r="K49" s="21">
        <v>0</v>
      </c>
      <c r="L49" s="22"/>
    </row>
    <row r="50" spans="1:12" ht="196" x14ac:dyDescent="0.2">
      <c r="A50" s="15" t="s">
        <v>175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133</v>
      </c>
      <c r="F50" s="16" t="s">
        <v>176</v>
      </c>
      <c r="G50" s="15" t="s">
        <v>22</v>
      </c>
      <c r="H50" s="15" t="s">
        <v>17</v>
      </c>
      <c r="I50" s="16" t="s">
        <v>177</v>
      </c>
      <c r="J50" s="20" t="s">
        <v>24</v>
      </c>
      <c r="K50" s="21">
        <v>0.3</v>
      </c>
      <c r="L50" s="22" t="s">
        <v>408</v>
      </c>
    </row>
    <row r="51" spans="1:12" ht="28" customHeight="1" x14ac:dyDescent="0.2">
      <c r="A51" s="17" t="s">
        <v>178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179</v>
      </c>
      <c r="F51" s="18" t="s">
        <v>180</v>
      </c>
      <c r="G51" s="17" t="s">
        <v>22</v>
      </c>
      <c r="H51" s="17" t="s">
        <v>34</v>
      </c>
      <c r="I51" s="18" t="s">
        <v>181</v>
      </c>
      <c r="J51" s="20" t="s">
        <v>19</v>
      </c>
      <c r="K51" s="21">
        <v>0</v>
      </c>
      <c r="L51" s="22"/>
    </row>
    <row r="52" spans="1:12" x14ac:dyDescent="0.2">
      <c r="A52" s="17" t="s">
        <v>182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179</v>
      </c>
      <c r="F52" s="18" t="s">
        <v>183</v>
      </c>
      <c r="G52" s="17" t="s">
        <v>34</v>
      </c>
      <c r="H52" s="17" t="s">
        <v>22</v>
      </c>
      <c r="I52" s="18" t="s">
        <v>184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185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179</v>
      </c>
      <c r="F53" s="18" t="s">
        <v>186</v>
      </c>
      <c r="G53" s="17" t="s">
        <v>22</v>
      </c>
      <c r="H53" s="17" t="s">
        <v>28</v>
      </c>
      <c r="I53" s="18" t="s">
        <v>187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188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179</v>
      </c>
      <c r="F54" s="18" t="s">
        <v>189</v>
      </c>
      <c r="G54" s="17" t="s">
        <v>28</v>
      </c>
      <c r="H54" s="17" t="s">
        <v>34</v>
      </c>
      <c r="I54" s="18" t="s">
        <v>190</v>
      </c>
      <c r="J54" s="20" t="s">
        <v>19</v>
      </c>
      <c r="K54" s="21">
        <v>0</v>
      </c>
      <c r="L54" s="22"/>
    </row>
    <row r="55" spans="1:12" x14ac:dyDescent="0.2">
      <c r="A55" s="17" t="s">
        <v>191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179</v>
      </c>
      <c r="F55" s="18" t="s">
        <v>192</v>
      </c>
      <c r="G55" s="17" t="s">
        <v>22</v>
      </c>
      <c r="H55" s="17" t="s">
        <v>17</v>
      </c>
      <c r="I55" s="18" t="s">
        <v>193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194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179</v>
      </c>
      <c r="F56" s="18" t="s">
        <v>195</v>
      </c>
      <c r="G56" s="17" t="s">
        <v>22</v>
      </c>
      <c r="H56" s="17" t="s">
        <v>17</v>
      </c>
      <c r="I56" s="18" t="s">
        <v>196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197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179</v>
      </c>
      <c r="F57" s="18" t="s">
        <v>198</v>
      </c>
      <c r="G57" s="17" t="s">
        <v>17</v>
      </c>
      <c r="H57" s="17" t="s">
        <v>17</v>
      </c>
      <c r="I57" s="18" t="s">
        <v>199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200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179</v>
      </c>
      <c r="F58" s="18" t="s">
        <v>201</v>
      </c>
      <c r="G58" s="17" t="s">
        <v>34</v>
      </c>
      <c r="H58" s="17" t="s">
        <v>17</v>
      </c>
      <c r="I58" s="18" t="s">
        <v>202</v>
      </c>
      <c r="J58" s="20" t="s">
        <v>19</v>
      </c>
      <c r="K58" s="21">
        <v>0</v>
      </c>
      <c r="L58" s="22"/>
    </row>
    <row r="59" spans="1:12" x14ac:dyDescent="0.2">
      <c r="A59" s="17" t="s">
        <v>203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179</v>
      </c>
      <c r="F59" s="18" t="s">
        <v>204</v>
      </c>
      <c r="G59" s="17" t="s">
        <v>17</v>
      </c>
      <c r="H59" s="17" t="s">
        <v>17</v>
      </c>
      <c r="I59" s="18" t="s">
        <v>205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278</v>
      </c>
    </row>
    <row r="2" spans="1:4" x14ac:dyDescent="0.2">
      <c r="A2" s="2" t="s">
        <v>279</v>
      </c>
    </row>
    <row r="4" spans="1:4" x14ac:dyDescent="0.2">
      <c r="A4" s="6" t="s">
        <v>280</v>
      </c>
      <c r="B4" s="6" t="s">
        <v>281</v>
      </c>
      <c r="C4" s="6" t="s">
        <v>282</v>
      </c>
      <c r="D4" s="6" t="s">
        <v>283</v>
      </c>
    </row>
    <row r="5" spans="1:4" ht="55" customHeight="1" x14ac:dyDescent="0.2">
      <c r="A5" s="27" t="s">
        <v>284</v>
      </c>
      <c r="B5" s="8" t="s">
        <v>285</v>
      </c>
      <c r="C5" s="8" t="s">
        <v>286</v>
      </c>
      <c r="D5" s="8" t="s">
        <v>287</v>
      </c>
    </row>
    <row r="6" spans="1:4" ht="30" customHeight="1" x14ac:dyDescent="0.2">
      <c r="A6" s="27" t="s">
        <v>288</v>
      </c>
      <c r="B6" s="8" t="s">
        <v>289</v>
      </c>
      <c r="C6" s="8" t="s">
        <v>290</v>
      </c>
      <c r="D6" s="8" t="s">
        <v>291</v>
      </c>
    </row>
    <row r="7" spans="1:4" ht="70" customHeight="1" x14ac:dyDescent="0.2">
      <c r="A7" s="27" t="s">
        <v>292</v>
      </c>
      <c r="B7" s="8" t="s">
        <v>293</v>
      </c>
      <c r="C7" s="8" t="s">
        <v>294</v>
      </c>
      <c r="D7" s="8" t="s">
        <v>295</v>
      </c>
    </row>
    <row r="8" spans="1:4" ht="40" customHeight="1" x14ac:dyDescent="0.2">
      <c r="A8" s="27" t="s">
        <v>296</v>
      </c>
      <c r="B8" s="8" t="s">
        <v>297</v>
      </c>
      <c r="C8" s="8" t="s">
        <v>298</v>
      </c>
      <c r="D8" s="8" t="s">
        <v>299</v>
      </c>
    </row>
    <row r="9" spans="1:4" ht="30" customHeight="1" x14ac:dyDescent="0.2">
      <c r="A9" s="27" t="s">
        <v>300</v>
      </c>
      <c r="B9" s="8" t="s">
        <v>301</v>
      </c>
      <c r="C9" s="8" t="s">
        <v>302</v>
      </c>
      <c r="D9" s="8" t="s">
        <v>303</v>
      </c>
    </row>
    <row r="10" spans="1:4" ht="70" customHeight="1" x14ac:dyDescent="0.2">
      <c r="A10" s="27" t="s">
        <v>304</v>
      </c>
      <c r="B10" s="8" t="s">
        <v>305</v>
      </c>
      <c r="C10" s="8" t="s">
        <v>306</v>
      </c>
      <c r="D10" s="8" t="s">
        <v>307</v>
      </c>
    </row>
    <row r="11" spans="1:4" ht="30" customHeight="1" x14ac:dyDescent="0.2">
      <c r="A11" s="27" t="s">
        <v>308</v>
      </c>
      <c r="B11" s="8" t="s">
        <v>309</v>
      </c>
      <c r="C11" s="8" t="s">
        <v>310</v>
      </c>
      <c r="D11" s="8" t="s">
        <v>311</v>
      </c>
    </row>
    <row r="12" spans="1:4" ht="30" customHeight="1" x14ac:dyDescent="0.2">
      <c r="A12" s="27" t="s">
        <v>312</v>
      </c>
      <c r="B12" s="8" t="s">
        <v>313</v>
      </c>
      <c r="C12" s="8" t="s">
        <v>314</v>
      </c>
      <c r="D12" s="8" t="s">
        <v>315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316</v>
      </c>
    </row>
    <row r="2" spans="1:7" x14ac:dyDescent="0.2">
      <c r="A2" s="2" t="s">
        <v>317</v>
      </c>
    </row>
    <row r="4" spans="1:7" x14ac:dyDescent="0.2">
      <c r="A4" s="6" t="s">
        <v>318</v>
      </c>
      <c r="B4" s="6" t="s">
        <v>319</v>
      </c>
      <c r="C4" s="6" t="s">
        <v>320</v>
      </c>
      <c r="D4" s="6" t="s">
        <v>321</v>
      </c>
      <c r="E4" s="6" t="s">
        <v>322</v>
      </c>
      <c r="F4" s="6" t="s">
        <v>323</v>
      </c>
      <c r="G4" s="6" t="s">
        <v>11</v>
      </c>
    </row>
    <row r="5" spans="1:7" ht="28" customHeight="1" x14ac:dyDescent="0.2">
      <c r="A5" s="7" t="s">
        <v>324</v>
      </c>
      <c r="B5" s="8" t="s">
        <v>325</v>
      </c>
      <c r="C5" s="7" t="s">
        <v>22</v>
      </c>
      <c r="D5" s="8" t="s">
        <v>326</v>
      </c>
      <c r="E5" s="7" t="s">
        <v>327</v>
      </c>
      <c r="F5" s="7">
        <v>12</v>
      </c>
      <c r="G5" s="20" t="s">
        <v>30</v>
      </c>
    </row>
    <row r="6" spans="1:7" x14ac:dyDescent="0.2">
      <c r="A6" s="7" t="s">
        <v>328</v>
      </c>
      <c r="B6" s="8" t="s">
        <v>329</v>
      </c>
      <c r="C6" s="7" t="s">
        <v>22</v>
      </c>
      <c r="D6" s="8" t="s">
        <v>324</v>
      </c>
      <c r="E6" s="7" t="s">
        <v>241</v>
      </c>
      <c r="F6" s="7">
        <v>2</v>
      </c>
      <c r="G6" s="20" t="s">
        <v>30</v>
      </c>
    </row>
    <row r="7" spans="1:7" x14ac:dyDescent="0.2">
      <c r="A7" s="7" t="s">
        <v>330</v>
      </c>
      <c r="B7" s="8" t="s">
        <v>331</v>
      </c>
      <c r="C7" s="7" t="s">
        <v>22</v>
      </c>
      <c r="D7" s="8" t="s">
        <v>34</v>
      </c>
      <c r="E7" s="7" t="s">
        <v>241</v>
      </c>
      <c r="F7" s="7">
        <v>2</v>
      </c>
      <c r="G7" s="20" t="s">
        <v>30</v>
      </c>
    </row>
    <row r="8" spans="1:7" x14ac:dyDescent="0.2">
      <c r="A8" s="7" t="s">
        <v>332</v>
      </c>
      <c r="B8" s="8" t="s">
        <v>333</v>
      </c>
      <c r="C8" s="7" t="s">
        <v>22</v>
      </c>
      <c r="D8" s="8" t="s">
        <v>334</v>
      </c>
      <c r="E8" s="7" t="s">
        <v>241</v>
      </c>
      <c r="F8" s="7">
        <v>2</v>
      </c>
      <c r="G8" s="20" t="s">
        <v>30</v>
      </c>
    </row>
    <row r="9" spans="1:7" x14ac:dyDescent="0.2">
      <c r="A9" s="7" t="s">
        <v>335</v>
      </c>
      <c r="B9" s="8" t="s">
        <v>336</v>
      </c>
      <c r="C9" s="7" t="s">
        <v>34</v>
      </c>
      <c r="D9" s="8" t="s">
        <v>324</v>
      </c>
      <c r="E9" s="7" t="s">
        <v>246</v>
      </c>
      <c r="F9" s="7">
        <v>4</v>
      </c>
      <c r="G9" s="20" t="s">
        <v>30</v>
      </c>
    </row>
    <row r="10" spans="1:7" x14ac:dyDescent="0.2">
      <c r="A10" s="7" t="s">
        <v>337</v>
      </c>
      <c r="B10" s="8" t="s">
        <v>338</v>
      </c>
      <c r="C10" s="7" t="s">
        <v>34</v>
      </c>
      <c r="D10" s="8" t="s">
        <v>339</v>
      </c>
      <c r="E10" s="7" t="s">
        <v>246</v>
      </c>
      <c r="F10" s="7">
        <v>4</v>
      </c>
      <c r="G10" s="20" t="s">
        <v>30</v>
      </c>
    </row>
    <row r="11" spans="1:7" x14ac:dyDescent="0.2">
      <c r="A11" s="7" t="s">
        <v>340</v>
      </c>
      <c r="B11" s="8" t="s">
        <v>341</v>
      </c>
      <c r="C11" s="7" t="s">
        <v>34</v>
      </c>
      <c r="D11" s="8" t="s">
        <v>339</v>
      </c>
      <c r="E11" s="7" t="s">
        <v>251</v>
      </c>
      <c r="F11" s="7">
        <v>8</v>
      </c>
      <c r="G11" s="20" t="s">
        <v>24</v>
      </c>
    </row>
    <row r="12" spans="1:7" x14ac:dyDescent="0.2">
      <c r="A12" s="7" t="s">
        <v>342</v>
      </c>
      <c r="B12" s="8" t="s">
        <v>343</v>
      </c>
      <c r="C12" s="7" t="s">
        <v>28</v>
      </c>
      <c r="D12" s="8" t="s">
        <v>339</v>
      </c>
      <c r="E12" s="7" t="s">
        <v>251</v>
      </c>
      <c r="F12" s="7">
        <v>8</v>
      </c>
      <c r="G12" s="20" t="s">
        <v>24</v>
      </c>
    </row>
    <row r="13" spans="1:7" x14ac:dyDescent="0.2">
      <c r="A13" s="7" t="s">
        <v>344</v>
      </c>
      <c r="B13" s="8" t="s">
        <v>345</v>
      </c>
      <c r="C13" s="7" t="s">
        <v>34</v>
      </c>
      <c r="D13" s="8" t="s">
        <v>346</v>
      </c>
      <c r="E13" s="7" t="s">
        <v>251</v>
      </c>
      <c r="F13" s="7">
        <v>8</v>
      </c>
      <c r="G13" s="20" t="s">
        <v>24</v>
      </c>
    </row>
    <row r="14" spans="1:7" x14ac:dyDescent="0.2">
      <c r="A14" s="7" t="s">
        <v>347</v>
      </c>
      <c r="B14" s="8" t="s">
        <v>348</v>
      </c>
      <c r="C14" s="7" t="s">
        <v>34</v>
      </c>
      <c r="D14" s="8" t="s">
        <v>339</v>
      </c>
      <c r="E14" s="7" t="s">
        <v>256</v>
      </c>
      <c r="F14" s="7">
        <v>10</v>
      </c>
      <c r="G14" s="20" t="s">
        <v>24</v>
      </c>
    </row>
    <row r="15" spans="1:7" x14ac:dyDescent="0.2">
      <c r="A15" s="7" t="s">
        <v>349</v>
      </c>
      <c r="B15" s="8" t="s">
        <v>350</v>
      </c>
      <c r="C15" s="7" t="s">
        <v>28</v>
      </c>
      <c r="D15" s="8" t="s">
        <v>351</v>
      </c>
      <c r="E15" s="7" t="s">
        <v>256</v>
      </c>
      <c r="F15" s="7">
        <v>10</v>
      </c>
      <c r="G15" s="20" t="s">
        <v>24</v>
      </c>
    </row>
    <row r="16" spans="1:7" x14ac:dyDescent="0.2">
      <c r="A16" s="7" t="s">
        <v>352</v>
      </c>
      <c r="B16" s="8" t="s">
        <v>353</v>
      </c>
      <c r="C16" s="7" t="s">
        <v>28</v>
      </c>
      <c r="D16" s="8" t="s">
        <v>354</v>
      </c>
      <c r="E16" s="7" t="s">
        <v>256</v>
      </c>
      <c r="F16" s="7">
        <v>10</v>
      </c>
      <c r="G16" s="20" t="s">
        <v>24</v>
      </c>
    </row>
    <row r="17" spans="1:7" x14ac:dyDescent="0.2">
      <c r="A17" s="7" t="s">
        <v>355</v>
      </c>
      <c r="B17" s="8" t="s">
        <v>356</v>
      </c>
      <c r="C17" s="7" t="s">
        <v>28</v>
      </c>
      <c r="D17" s="8" t="s">
        <v>22</v>
      </c>
      <c r="E17" s="7" t="s">
        <v>256</v>
      </c>
      <c r="F17" s="7">
        <v>10</v>
      </c>
      <c r="G17" s="20" t="s">
        <v>19</v>
      </c>
    </row>
    <row r="18" spans="1:7" x14ac:dyDescent="0.2">
      <c r="A18" s="7" t="s">
        <v>357</v>
      </c>
      <c r="B18" s="8" t="s">
        <v>358</v>
      </c>
      <c r="C18" s="7" t="s">
        <v>22</v>
      </c>
      <c r="D18" s="8" t="s">
        <v>359</v>
      </c>
      <c r="E18" s="7" t="s">
        <v>360</v>
      </c>
      <c r="F18" s="7">
        <v>12</v>
      </c>
      <c r="G18" s="20" t="s">
        <v>19</v>
      </c>
    </row>
    <row r="19" spans="1:7" x14ac:dyDescent="0.2">
      <c r="A19" s="7" t="s">
        <v>361</v>
      </c>
      <c r="B19" s="8" t="s">
        <v>362</v>
      </c>
      <c r="C19" s="7" t="s">
        <v>22</v>
      </c>
      <c r="D19" s="8" t="s">
        <v>363</v>
      </c>
      <c r="E19" s="7" t="s">
        <v>324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8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364</v>
      </c>
    </row>
    <row r="2" spans="1:7" x14ac:dyDescent="0.2">
      <c r="A2" s="2" t="s">
        <v>365</v>
      </c>
    </row>
    <row r="4" spans="1:7" x14ac:dyDescent="0.2">
      <c r="A4" s="6" t="s">
        <v>3</v>
      </c>
      <c r="B4" s="6" t="s">
        <v>366</v>
      </c>
      <c r="C4" s="6" t="s">
        <v>210</v>
      </c>
      <c r="D4" s="6" t="s">
        <v>367</v>
      </c>
      <c r="E4" s="6" t="s">
        <v>368</v>
      </c>
      <c r="F4" s="6" t="s">
        <v>369</v>
      </c>
      <c r="G4" s="6" t="s">
        <v>370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371</v>
      </c>
      <c r="E5" s="30" t="s">
        <v>372</v>
      </c>
      <c r="F5" s="30" t="s">
        <v>373</v>
      </c>
      <c r="G5" s="30" t="s">
        <v>374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375</v>
      </c>
      <c r="E6" s="22" t="s">
        <v>376</v>
      </c>
      <c r="F6" s="22" t="s">
        <v>377</v>
      </c>
      <c r="G6" s="22" t="s">
        <v>378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379</v>
      </c>
      <c r="E7" s="22" t="s">
        <v>380</v>
      </c>
      <c r="F7" s="22" t="s">
        <v>381</v>
      </c>
      <c r="G7" s="22" t="s">
        <v>382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383</v>
      </c>
      <c r="E8" s="22" t="s">
        <v>384</v>
      </c>
      <c r="F8" s="22" t="s">
        <v>385</v>
      </c>
      <c r="G8" s="22" t="s">
        <v>386</v>
      </c>
    </row>
    <row r="9" spans="1:7" ht="384" x14ac:dyDescent="0.2">
      <c r="A9" s="20">
        <v>4</v>
      </c>
      <c r="B9" s="31">
        <v>46322</v>
      </c>
      <c r="C9" s="20" t="s">
        <v>22</v>
      </c>
      <c r="D9" s="22" t="s">
        <v>410</v>
      </c>
      <c r="E9" s="22" t="s">
        <v>401</v>
      </c>
      <c r="F9" s="22" t="s">
        <v>411</v>
      </c>
      <c r="G9" s="22" t="s">
        <v>412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387</v>
      </c>
    </row>
    <row r="2" spans="1:8" x14ac:dyDescent="0.2">
      <c r="A2" s="2" t="s">
        <v>388</v>
      </c>
    </row>
    <row r="4" spans="1:8" ht="28" customHeight="1" x14ac:dyDescent="0.2">
      <c r="A4" s="6" t="s">
        <v>210</v>
      </c>
      <c r="B4" s="6" t="s">
        <v>389</v>
      </c>
      <c r="C4" s="6" t="s">
        <v>30</v>
      </c>
      <c r="D4" s="6" t="s">
        <v>24</v>
      </c>
      <c r="E4" s="6" t="s">
        <v>390</v>
      </c>
      <c r="F4" s="6" t="s">
        <v>391</v>
      </c>
      <c r="G4" s="6" t="s">
        <v>392</v>
      </c>
      <c r="H4" s="6" t="s">
        <v>393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12</v>
      </c>
      <c r="D5" s="7">
        <f>COUNTIFS('Kế hoạch'!$G$5:$G$109,A5,'Kế hoạch'!$J$5:$J$109,"Đang làm")</f>
        <v>3</v>
      </c>
      <c r="E5" s="7">
        <f>COUNTIFS('Kế hoạch'!$G$5:$G$109,A5,'Kế hoạch'!$J$5:$J$109,"Trễ hạn")</f>
        <v>0</v>
      </c>
      <c r="F5" s="34">
        <f>IFERROR(C5/B5,0)</f>
        <v>0.63157894736842102</v>
      </c>
      <c r="G5" s="34">
        <f>IFERROR(AVERAGEIF('Kế hoạch'!$G$5:$G$109,A5,'Kế hoạch'!$K$5:$K$109),0)</f>
        <v>0.70526315789473693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1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0.25294117647058822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394</v>
      </c>
      <c r="B9" s="35">
        <f>SUM(B5:B8)</f>
        <v>55</v>
      </c>
      <c r="C9" s="35">
        <f>SUM(C5:C8)</f>
        <v>21</v>
      </c>
      <c r="D9" s="35">
        <f>SUM(D5:D8)</f>
        <v>4</v>
      </c>
      <c r="E9" s="35">
        <f>SUM(E5:E8)</f>
        <v>0</v>
      </c>
      <c r="F9" s="36">
        <f>IFERROR(C9/B9,0)</f>
        <v>0.38181818181818183</v>
      </c>
      <c r="G9" s="36">
        <f>IFERROR(AVERAGE('Kế hoạch'!$K$5:$K$109),0)</f>
        <v>0.41272727272727278</v>
      </c>
      <c r="H9" s="35">
        <f>SUM(H5:H8)</f>
        <v>55</v>
      </c>
    </row>
    <row r="12" spans="1:8" ht="16" customHeight="1" x14ac:dyDescent="0.2">
      <c r="A12" s="5" t="s">
        <v>395</v>
      </c>
    </row>
    <row r="13" spans="1:8" ht="28" customHeight="1" x14ac:dyDescent="0.2">
      <c r="A13" s="6" t="s">
        <v>6</v>
      </c>
      <c r="B13" s="6" t="s">
        <v>396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7</v>
      </c>
      <c r="D15" s="38">
        <f>IFERROR(C15/B15,0)</f>
        <v>1</v>
      </c>
    </row>
    <row r="16" spans="1:8" x14ac:dyDescent="0.2">
      <c r="A16" s="13" t="s">
        <v>90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133</v>
      </c>
      <c r="B17" s="15">
        <f>COUNTIF('Kế hoạch'!$E$5:$E$109,A17)</f>
        <v>15</v>
      </c>
      <c r="C17" s="15">
        <f>COUNTIFS('Kế hoạch'!$E$5:$E$109,A17,'Kế hoạch'!$J$5:$J$109,"Hoàn thành")</f>
        <v>3</v>
      </c>
      <c r="D17" s="40">
        <f>IFERROR(C17/B17,0)</f>
        <v>0.2</v>
      </c>
    </row>
    <row r="18" spans="1:4" x14ac:dyDescent="0.2">
      <c r="A18" s="17" t="s">
        <v>179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397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2026-10-27T13:52:52Z</dcterms:modified>
</cp:coreProperties>
</file>