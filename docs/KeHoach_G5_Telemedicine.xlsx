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2F582DAB-94D2-584F-B51A-17E84C7944A0}" xr6:coauthVersionLast="47" xr6:coauthVersionMax="47" xr10:uidLastSave="{00000000-0000-0000-0000-000000000000}"/>
  <bookViews>
    <workbookView xWindow="1200" yWindow="660" windowWidth="2904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D17" i="6" s="1"/>
  <c r="B17" i="6"/>
  <c r="C16" i="6"/>
  <c r="D16" i="6" s="1"/>
  <c r="B16" i="6"/>
  <c r="C15" i="6"/>
  <c r="D15" i="6" s="1"/>
  <c r="B15" i="6"/>
  <c r="C14" i="6"/>
  <c r="D14" i="6" s="1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H9" i="6" s="1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F8" i="6" l="1"/>
  <c r="F6" i="6"/>
  <c r="B9" i="6"/>
  <c r="E9" i="6"/>
  <c r="D9" i="6"/>
  <c r="F7" i="6"/>
  <c r="F5" i="6"/>
  <c r="C9" i="6"/>
  <c r="F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<sst xmlns="http://schemas.openxmlformats.org/spreadsheetml/2006/main" count="698" uniqueCount="406">
  <si>
    <t>Kế hoạch công việc theo tuần</t>
  </si>
  <si>
    <t>Cập nhật cột Trạng thái / % hoàn thành / Ghi chú (ô vàng) mỗi tuần.</t>
  </si>
  <si>
    <t>Mã</t>
  </si>
  <si>
    <t>Tuần</t>
  </si>
  <si>
    <t>Từ ngày</t>
  </si>
  <si>
    <t>Đến ngày</t>
  </si>
  <si>
    <t>Giai đoạn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</si>
  <si>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</si>
  <si>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</si>
  <si>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</si>
  <si>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</si>
  <si>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</si>
  <si>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</si>
  <si>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</si>
  <si>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</si>
  <si>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GĐ0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</si>
  <si>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</si>
  <si>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</si>
  <si>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</si>
  <si>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</si>
  <si>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</si>
  <si>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</si>
  <si>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Khôi</t>
  </si>
  <si>
    <t>Repo + README hướng dẫn cài đặt</t>
  </si>
  <si>
    <t>Đang làm</t>
  </si>
  <si>
    <t>Repo + cấu trúc thư mục + README xong; máy Khôi đã cài PG16 + draw.io. Chờ Hữu Khoa, Đăng Khoa cài theo README và báo lại</t>
  </si>
  <si>
    <t>T03</t>
  </si>
  <si>
    <t>Khảo sát quy trình đặt lịch, khám trực tiếp, tư vấn từ xa, thanh toán (biểu mẫu, ứng dụng thực tế)</t>
  </si>
  <si>
    <t>Đăng Khoa</t>
  </si>
  <si>
    <t>Ghi chú khảo sát mảng B</t>
  </si>
  <si>
    <t>Hoàn thành</t>
  </si>
  <si>
    <t>docs/khao-sat/T03_KhaoSat_MangB.md – viết lại theo ISO/IEC/IEEE 29148, bổ sung quy định khám từ xa (19/10); chờ Đăng Khoa review</t>
  </si>
  <si>
    <t>T04</t>
  </si>
  <si>
    <t>Khảo sát tổ chức nhân sự y tế, chuyên khoa, chứng chỉ hành nghề, ca làm việc</t>
  </si>
  <si>
    <t>Hữu Khoa</t>
  </si>
  <si>
    <t>Ghi chú khảo sát mảng A</t>
  </si>
  <si>
    <t>docs/khao-sat/T04_KhaoSat_MangA.md – Khôi soạn 19/10 theo ISO/IEC/IEEE 29148; chờ Hữu Khoa xác nhận</t>
  </si>
  <si>
    <t>T05</t>
  </si>
  <si>
    <t>Khảo sát hồ sơ bệnh án, chẩn đoán (ICD-10), đơn thuốc điện tử, dị ứng thuốc</t>
  </si>
  <si>
    <t>Ghi chú khảo sát mảng C</t>
  </si>
  <si>
    <t>docs/khao-sat/T05_KhaoSat_MangC.md – viết lại theo ISO/IEC/IEEE 29148, bổ sung quy định kê đơn, bệnh án điện tử (19/10); chờ Hữu Khoa review</t>
  </si>
  <si>
    <t>T06</t>
  </si>
  <si>
    <t>Viết mục 1 + 1.1: giới thiệu, phạm vi, mục tiêu hệ thống, tác nhân (theo ISO/IEC/IEEE 29148)</t>
  </si>
  <si>
    <t>Báo cáo mục 1, 1.1</t>
  </si>
  <si>
    <t>Đã điền mục 1, 1.1 vào docs/INT1313_TX_G5_DeTai05_Telemedicine_v0.docx – chờ Hữu Khoa review</t>
  </si>
  <si>
    <t>T07</t>
  </si>
  <si>
    <t>Viết quy tắc nghiệp vụ BR-A01… cho mảng A (đánh số, có thể kiểm chứng)</t>
  </si>
  <si>
    <t>Danh sách BR mảng A</t>
  </si>
  <si>
    <t>docs/br/T07_BR_MangA.md – BR-A01…A08 theo Business Rules Manifesto/SBVR, khớp báo cáo v2.1 (19/10); chờ Đăng Khoa review</t>
  </si>
  <si>
    <t>T08</t>
  </si>
  <si>
    <t>Viết quy tắc nghiệp vụ BR-B01… cho mảng B</t>
  </si>
  <si>
    <t>Danh sách BR mảng B</t>
  </si>
  <si>
    <t>docs/br/T08_BR_MangB.md – thu gọn còn BR-B01…B07, theo Business Rules Manifesto/SBVR (19/10); chờ Hữu Khoa review</t>
  </si>
  <si>
    <t>T09</t>
  </si>
  <si>
    <t>Viết quy tắc nghiệp vụ BR-C01… cho mảng C</t>
  </si>
  <si>
    <t>Danh sách BR mảng C</t>
  </si>
  <si>
    <t>docs/br/T09_BR_MangC.md – BR-C01…C05 theo Business Rules Manifesto/SBVR; Khôi đã review 19/10</t>
  </si>
  <si>
    <t>T10</t>
  </si>
  <si>
    <t>Tổng hợp mục 1.2, review chéo, nộp báo cáo v1 + báo cáo tiến độ</t>
  </si>
  <si>
    <t>Báo cáo v1</t>
  </si>
  <si>
    <t>Đã nộp báo cáo v1 (mục 1, 1.1, 1.2) và báo cáo tiến độ. Nội dung v1 được nối tiếp trong docs/INT1313_TX_G5_DeTai05_Telemedicine_v2.1.docx; bản v1 xem lịch sử git (commit a2902ac)</t>
  </si>
  <si>
    <t>T11</t>
  </si>
  <si>
    <t>GĐ1</t>
  </si>
  <si>
    <t>Vẽ EER mảng A: BAC_SI → {ĐA_KHOA, CHUYÊN_KHOA}; ràng buộc disjoint/total; chuyên khoa, ca làm việc</t>
  </si>
  <si>
    <t>ERD mảng A (.drawio)</t>
  </si>
  <si>
    <t>erd/A.drawio, erd/A.png – Khôi vẽ 19/10 theo T04, T07; chờ Hữu Khoa xác nhận tên liên kết THUỘC, XẾP_CA</t>
  </si>
  <si>
    <t>T12</t>
  </si>
  <si>
    <t>Vẽ ER/EER mảng B: BENH_NHAN, LICH_HEN → {KHÁM_TRỰC_TIẾP, TƯ_VẤN_TỪ_XA}, giấy chuyển chuyên khoa, hóa đơn</t>
  </si>
  <si>
    <t>ERD mảng B</t>
  </si>
  <si>
    <t>erd/B.drawio, erd/B.png – Chen/Elmasri; bỏ HOA_DON, phí khám là thuộc tính lịch hẹn (19/10); chờ Hữu Khoa review</t>
  </si>
  <si>
    <t>T13</t>
  </si>
  <si>
    <t>Vẽ ER mảng C: HO_SO_BENH_AN, LAN_KHAM, CHAN_DOAN, DON_THUOC, THUOC, DI_UNG</t>
  </si>
  <si>
    <t>ERD mảng C</t>
  </si>
  <si>
    <t>erd/C.drawio, erd/C.png – Chen/Elmasri; bỏ HO_SO_BENH_AN, chi tiết đơn là liên kết M:N KÊ (19/10); Khôi đã review</t>
  </si>
  <si>
    <t>T14</t>
  </si>
  <si>
    <t>Gộp ERD tổng, thống nhất ký hiệu, kiểm tra cardinality/participation, thực thể yếu</t>
  </si>
  <si>
    <t>ERD tổng hoàn chỉnh</t>
  </si>
  <si>
    <t>erd/ERD_tong.drawio, erd/ERD_tong.png – Khôi gộp 19/10: 16 thực thể, 2 phân lớp, 15 liên kết, ký hiệu Chen/Elmasri thống nhất; chỉ vẽ khóa và thuộc tính liên kết; chờ Hữu Khoa review</t>
  </si>
  <si>
    <t>T15</t>
  </si>
  <si>
    <t>Lập ma trận truy vết BR → thành phần ERD (BR nào chưa thể hiện được thì ghi rõ cách xử lý)</t>
  </si>
  <si>
    <t>Bảng truy vết BR–ERD</t>
  </si>
  <si>
    <t>docs/traceability/T15_Traceability.md – truy vết hai chiều A, B, C theo ISO/IEC/IEEE 29148 (19/10); chờ Hữu Khoa review</t>
  </si>
  <si>
    <t>T16</t>
  </si>
  <si>
    <t>Viết mục 2.1 Mô hình khái niệm (mỗi người mô tả mảng mình, Hữu Khoa gộp)</t>
  </si>
  <si>
    <t>Báo cáo mục 2.1</t>
  </si>
  <si>
    <t>Báo cáo v2.1 mục 2.1 đủ A, B, C: thực thể, liên kết, phân lớp, hình 2.1 (ERD tổng) và 2.1a–c, truy vết, giả định; chờ Khôi review</t>
  </si>
  <si>
    <t>T17</t>
  </si>
  <si>
    <t>Review, nộp báo cáo v2.1 + báo cáo tiến độ</t>
  </si>
  <si>
    <t>Báo cáo v2.1</t>
  </si>
  <si>
    <t>docs/INT1313_TX_G5_DeTai05_Telemedicine_v2.1.docx – mục Giới thiệu tóm tắt, 1, 1.2, 2, 2.1 hoàn chỉnh, có ERD tổng; còn review chéo, điền ngày nộp, nộp</t>
  </si>
  <si>
    <t>T18</t>
  </si>
  <si>
    <t>GĐ2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</si>
  <si>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</si>
  <si>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</si>
  <si>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</si>
  <si>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</si>
  <si>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</si>
  <si>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</si>
  <si>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</si>
  <si>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</si>
  <si>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</si>
  <si>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</si>
  <si>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</si>
  <si>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</si>
  <si>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</si>
  <si>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</si>
  <si>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</si>
  <si>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</si>
  <si>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</si>
  <si>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</si>
  <si>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</si>
  <si>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</si>
  <si>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</si>
  <si>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</si>
  <si>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</si>
  <si>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</si>
  <si>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</si>
  <si>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</si>
  <si>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</si>
  <si>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</si>
  <si>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</si>
  <si>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</si>
  <si>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</si>
  <si>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</si>
  <si>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</si>
  <si>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</si>
  <si>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</si>
  <si>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</si>
  <si>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</si>
  <si>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</si>
  <si>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</si>
  <si>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</si>
  <si>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</si>
  <si>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</si>
  <si>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GĐ3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</si>
  <si>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</si>
  <si>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</si>
  <si>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</si>
  <si>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</si>
  <si>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</si>
  <si>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</si>
  <si>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</si>
  <si>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</si>
  <si>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</si>
  <si>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</si>
  <si>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</si>
  <si>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</si>
  <si>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</si>
  <si>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</si>
  <si>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</si>
  <si>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</si>
  <si>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</si>
  <si>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</si>
  <si>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</si>
  <si>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</si>
  <si>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</si>
  <si>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</si>
  <si>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</si>
  <si>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</si>
  <si>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</si>
  <si>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</si>
  <si>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</si>
  <si>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</si>
  <si>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</si>
  <si>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</si>
  <si>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</si>
  <si>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</si>
  <si>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</si>
  <si>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</si>
  <si>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</si>
  <si>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</si>
  <si>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</si>
  <si>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</si>
  <si>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</si>
  <si>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</si>
  <si>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</si>
  <si>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</si>
  <si>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</si>
  <si>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</si>
  <si>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</si>
  <si>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GĐ4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</si>
  <si>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</si>
  <si>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</si>
  <si>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</si>
  <si>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</si>
  <si>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</si>
  <si>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</si>
  <si>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</si>
  <si>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</si>
  <si>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</si>
  <si>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</si>
  <si>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</si>
  <si>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</si>
  <si>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</si>
  <si>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</si>
  <si>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</si>
  <si>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</si>
  <si>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</si>
  <si>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</si>
  <si>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</si>
  <si>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</si>
  <si>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</si>
  <si>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</si>
  <si>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</si>
  <si>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</si>
  <si>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</si>
  <si>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</si>
  <si>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</si>
  <si>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</si>
  <si>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</si>
  <si>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</si>
  <si>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</si>
  <si>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</si>
  <si>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</si>
  <si>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</si>
  <si>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</si>
  <si>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</si>
  <si>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</si>
  <si>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</si>
  <si>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</si>
  <si>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</si>
  <si>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</si>
  <si>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</si>
  <si>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</si>
  <si>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</si>
  <si>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</si>
  <si>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</si>
  <si>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</si>
  <si>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</si>
  <si>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</si>
  <si>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</si>
  <si>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</si>
  <si>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</si>
  <si>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</si>
  <si>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</si>
  <si>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Sản phẩm phải nộp</t>
  </si>
  <si>
    <t>Tiêu chí / Trọng số</t>
  </si>
  <si>
    <t>Phiên bản báo cáo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</si>
  <si>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</si>
  <si>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</si>
  <si>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</si>
  <si>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</si>
  <si>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</si>
  <si>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</si>
  <si>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</si>
  <si>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</si>
  <si>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</si>
  <si>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</si>
  <si>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</si>
  <si>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</si>
  <si>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</si>
  <si>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</si>
  <si>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</si>
  <si>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</si>
  <si>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</si>
  <si>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</si>
  <si>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</si>
  <si>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</si>
  <si>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</si>
  <si>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</si>
  <si>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</si>
  <si>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</si>
  <si>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</si>
  <si>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</si>
  <si>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</si>
  <si>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</si>
  <si>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</si>
  <si>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</si>
  <si>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</si>
  <si>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</si>
  <si>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</si>
  <si>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</si>
  <si>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</si>
  <si>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</si>
  <si>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</si>
  <si>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</si>
  <si>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</si>
  <si>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</si>
  <si>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</si>
  <si>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</si>
  <si>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</si>
  <si>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</si>
  <si>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</si>
  <si>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</si>
  <si>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</si>
  <si>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</si>
  <si>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BAC_SI (lớp cha; chứng chỉ hành nghề là thuộc tính) → BAC_SI_DA_KHOA, BAC_SI_CHUYEN_KHOA
CHUYEN_KHOA, CA_LAM_VIEC</t>
  </si>
  <si>
    <t>BENH_NHAN
LICH_HEN (lớp cha; có phí khám) → KHAM_TRUC_TIEP, TU_VAN_TU_XA (nền tảng, link phiên)
GIAY_CHUYEN_KHOA</t>
  </si>
  <si>
    <t>LAN_KHAM, CHAN_DOAN (mã ICD-10), DON_THUOC
THUOC, HOAT_CHAT; KÊ (đơn – thuốc), CHỨA (thuốc – hoạt chất), DI_UNG (bệnh nhân – hoạt chất)
Hồ sơ bệnh án = view tổng hợp</t>
  </si>
  <si>
    <t>Điểm EER / khó khăn</t>
  </si>
  <si>
    <t>Phân lớp disjoint + total cho BAC_SI {Đa khoa, Chuyên khoa};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</si>
  <si>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</si>
  <si>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</si>
  <si>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</si>
  <si>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thuộc đúng 1 chuyên khoa
• Chứng chỉ hành nghề phải còn hạn mới được xếp ca
• Ca làm việc của 1 bác sĩ không chồng giờ</t>
  </si>
  <si>
    <t>• Lịch hẹn nằm trong ca làm việc của bác sĩ
• 1 bác sĩ, 1 bệnh nhân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</si>
  <si>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</si>
  <si>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</si>
  <si>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trg_kiem_tra_chung_chi – chặn xếp ca khi chứng chỉ hết hạn
trg_bao_ve_ca_lam_viec – chặn sửa/hủy ca làm lịch hẹn rơi ra ngoài ca</t>
  </si>
  <si>
    <t>trg_lich_hen_hop_le – lịch hẹn phải trong ca, không trùng giờ
trg_trang_thai_lich_hen – chỉ cho chuyển trạng thái hợp lệ</t>
  </si>
  <si>
    <t>trg_chan_thuoc_di_ung – chặn kê thuốc dị ứng
trg_lan_kham_hoan_thanh – lần khám chỉ cho lịch HOAN_THANH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</si>
  <si>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</si>
  <si>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</si>
  <si>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</si>
  <si>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</si>
  <si>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</si>
  <si>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</si>
  <si>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</si>
  <si>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</si>
  <si>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</si>
  <si>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</si>
  <si>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</si>
  <si>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</si>
  <si>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</si>
  <si>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</si>
  <si>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</si>
  <si>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</si>
  <si>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</si>
  <si>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</si>
  <si>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</si>
  <si>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</si>
  <si>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</si>
  <si>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</si>
  <si>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</si>
  <si>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</si>
  <si>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</si>
  <si>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</si>
  <si>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</si>
  <si>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</si>
  <si>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</si>
  <si>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</si>
  <si>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</si>
  <si>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</si>
  <si>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</si>
  <si>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</si>
  <si>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</si>
  <si>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</si>
  <si>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</si>
  <si>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</si>
  <si>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</si>
  <si>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</si>
  <si>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</si>
  <si>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</si>
  <si>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</si>
  <si>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</si>
  <si>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</si>
  <si>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</si>
  <si>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</si>
  <si>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</si>
  <si>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</si>
  <si>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</si>
  <si>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</si>
  <si>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</si>
  <si>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</si>
  <si>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</si>
  <si>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</si>
  <si>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</si>
  <si>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</si>
  <si>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</si>
  <si>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</si>
  <si>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</si>
  <si>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</si>
  <si>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</si>
  <si>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</si>
  <si>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</si>
  <si>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</si>
  <si>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</si>
  <si>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</si>
  <si>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</si>
  <si>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</si>
  <si>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</si>
  <si>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</si>
  <si>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</si>
  <si>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</si>
  <si>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</si>
  <si>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</si>
  <si>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</si>
  <si>
    <t>T10: gộp mục 1.2 (BR mảng A, C), review chéo, nộp báo cáo v1</t>
  </si>
  <si>
    <t>Hữu Khoa: chốt phương án ánh xạ lớp bác sĩ đa khoa (ảnh hưởng BR-B09)
Cả nhóm: đồng ý bỏ BAO_HIEM_Y_TE khỏi mảng B
Đăng Khoa: giữ số hiệu BR-C01…C05 vì MT-04, MT-05 đang tham chiếu</t>
  </si>
  <si>
    <t>github.com/khoiln218/telemedicine
README.md
docs/khao-sat/T03_KhaoSat_MangB.md
docs/br/T08_BR_MangB.md
docs/…_v0.docx (mục 1, 1.1)</t>
  </si>
  <si>
    <t>T10: review chéo BR mảng A (BR_MangA.md) và C (T09), ghi điểm cần sửa vào kế hoạch; gộp mục 1.2 + 1.2.4 vào báo cáo v1 (docx đổi tên _v1)</t>
  </si>
  <si>
    <t>T10: chốt 1.2 với Hữu Khoa, Đăng Khoa, nộp v1 + báo cáo tiến độ. T12: vẽ ER/EER mảng B</t>
  </si>
  <si>
    <t>Hữu Khoa: xác nhận BR-A01…A08 theo review (giữ số hiệu v0), review BR mảng B
Đăng Khoa: sửa T09 theo review</t>
  </si>
  <si>
    <t>docs/INT1313_TX_G5_DeTai05_Telemedicine_v1.docx
docs/KeHoach_G5_Telemedicine.xlsx
nhánh member/Khoi</t>
  </si>
  <si>
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</si>
  <si>
    <t>T17: review chéo, điền ngày nộp, nộp v2.1 + báo cáo tiến độ</t>
  </si>
  <si>
    <t>Hữu Khoa: review T04, T07, T11, T14 do Khôi soạn
Hữu Khoa, Đăng Khoa: xác nhận phần thu gọn mảng A, C
Cả nhóm: chốt tên khóa ma_bac_si, ma_chuyen_khoa; phương án ánh xạ phân lớp bác sĩ (8A/8B/8C)</t>
  </si>
  <si>
    <t>nhánh Khoi
docs/khao-sat/T03, T04, T05
docs/br/T07, T08, T09
erd/A, B, C, ERD_tong (.drawio, .png)
docs/traceability/T15_Traceability.md
docs/INT1313_TX_G5_DeTai05_Telemedicine_v2.1.docx</t>
  </si>
  <si>
    <t>Thống kê tiến độ &amp; mức đóng góp</t>
  </si>
  <si>
    <t>Tự tính từ sheet 'Kế hoạch' – không cần nhập.</t>
  </si>
  <si>
    <t>Số việc phụ trách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</si>
  <si>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</si>
  <si>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</si>
  <si>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</si>
  <si>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</si>
  <si>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</si>
  <si>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</si>
  <si>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</si>
  <si>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</si>
  <si>
    <t>docs/5_anh-xa/T20_AnhXa_MangB.md – 4 bảng BENH_NHAN, GIAY_CHUYEN_KHOA, LICH_HEN, TAI_KHOAN; PK/FK theo Elmasri bước 1–8, LICH_HEN chọn 8C (27/10); chờ Hữu Khoa review, xác nhận 8A cho BAC_SI (T19)</t>
  </si>
  <si>
    <t>docs/6_chuan-hoa/T24_FD_MangB.md – FD (phủ tối thiểu), FD đã loại kèm lý do, khóa ứng viên 4 bảng; BENH_NHAN có 2 khóa {ma_bn}, {sdt} (27/10); chờ Đăng Khoa review</t>
  </si>
  <si>
    <t>docs/6_chuan-hoa/T27_ChuanHoa_MangB.md – 4 bảng đạt BCNF, không tách; lập luận riêng cho FD có điều kiện (cột UNIQUE cho phép NULL); vai_tro trùng loai_nv chuyển T30 (27/10); chờ Đăng Khoa review</t>
  </si>
  <si>
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</t>
  </si>
  <si>
    <t>T21: review ánh xạ mảng C. T29: điền từ điển dữ liệu bảng mảng B</t>
  </si>
  <si>
    <t>Hữu Khoa: chốt phương án ánh xạ BAC_SI (8A hay 8C) ở T19 – ảnh hưởng FK ma_bac_si_lap → BAC_SI_DA_KHOA; review T20
Đăng Khoa: review T24; chốt cách trình bày FD có điều kiện ở T22
Đăng Khoa: review T27; T30 chốt TAI_KHOAN.vai_tro (giữ hay suy từ loai_nv)</t>
  </si>
  <si>
    <t>docs/5_anh-xa/T20_AnhXa_MangB.md
commit 78857c7, nhánh Khoi
docs/6_chuan-hoa/T24_FD_MangB.md
docs/6_chuan-hoa/T27_ChuanHoa_MangB.md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</si>
</sst>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6"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808080"/>
      </font>
    </dxf>
    <dxf>
      <font>
        <strike/>
        <color rgb="FF808080"/>
      </font>
    </dxf>
    <dxf>
      <font>
        <color rgb="FF80808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customHeight="1" x14ac:dyDescent="0.2">
      <c r="A1" s="1" t="s">
        <v>207</v>
      </c>
    </row>
    <row r="2" spans="1:6" x14ac:dyDescent="0.2">
      <c r="A2" s="2" t="s">
        <v>208</v>
      </c>
    </row>
    <row r="4" spans="1:6" x14ac:dyDescent="0.2">
      <c r="A4" s="3" t="s">
        <v>209</v>
      </c>
      <c r="B4" s="4"/>
      <c r="C4" s="2" t="s">
        <v>210</v>
      </c>
    </row>
    <row r="6" spans="1:6" ht="16" customHeight="1" x14ac:dyDescent="0.2">
      <c r="A6" s="5" t="s">
        <v>211</v>
      </c>
    </row>
    <row r="7" spans="1:6" x14ac:dyDescent="0.2">
      <c r="A7" s="6" t="s">
        <v>212</v>
      </c>
      <c r="B7" s="6" t="s">
        <v>213</v>
      </c>
      <c r="C7" s="6" t="s">
        <v>214</v>
      </c>
      <c r="D7" s="6" t="s">
        <v>215</v>
      </c>
      <c r="E7" s="6" t="s">
        <v>216</v>
      </c>
      <c r="F7" s="6" t="s">
        <v>217</v>
      </c>
    </row>
    <row r="8" spans="1:6" ht="45" customHeight="1" x14ac:dyDescent="0.2">
      <c r="A8" s="7" t="s">
        <v>22</v>
      </c>
      <c r="B8" s="8" t="s">
        <v>218</v>
      </c>
      <c r="C8" s="7" t="s">
        <v>219</v>
      </c>
      <c r="D8" s="8" t="s">
        <v>220</v>
      </c>
      <c r="E8" s="8" t="s">
        <v>221</v>
      </c>
      <c r="F8" s="8" t="s">
        <v>222</v>
      </c>
    </row>
    <row r="9" spans="1:6" ht="45" customHeight="1" x14ac:dyDescent="0.2">
      <c r="A9" s="7" t="s">
        <v>34</v>
      </c>
      <c r="B9" s="8" t="s">
        <v>223</v>
      </c>
      <c r="C9" s="7" t="s">
        <v>224</v>
      </c>
      <c r="D9" s="8" t="s">
        <v>225</v>
      </c>
      <c r="E9" s="8" t="s">
        <v>226</v>
      </c>
      <c r="F9" s="8" t="s">
        <v>227</v>
      </c>
    </row>
    <row r="10" spans="1:6" ht="45" customHeight="1" x14ac:dyDescent="0.2">
      <c r="A10" s="7" t="s">
        <v>28</v>
      </c>
      <c r="B10" s="8" t="s">
        <v>228</v>
      </c>
      <c r="C10" s="7" t="s">
        <v>229</v>
      </c>
      <c r="D10" s="8" t="s">
        <v>230</v>
      </c>
      <c r="E10" s="8" t="s">
        <v>231</v>
      </c>
      <c r="F10" s="8" t="s">
        <v>232</v>
      </c>
    </row>
    <row r="11" spans="1:6" ht="30" customHeight="1" x14ac:dyDescent="0.2">
      <c r="A11" s="42" t="s">
        <v>233</v>
      </c>
      <c r="B11" s="43"/>
      <c r="C11" s="43"/>
      <c r="D11" s="43"/>
      <c r="E11" s="43"/>
      <c r="F11" s="43"/>
    </row>
    <row r="13" spans="1:6" ht="16" customHeight="1" x14ac:dyDescent="0.2">
      <c r="A13" s="5" t="s">
        <v>234</v>
      </c>
    </row>
    <row r="14" spans="1:6" x14ac:dyDescent="0.2">
      <c r="A14" s="6" t="s">
        <v>2</v>
      </c>
      <c r="B14" s="6" t="s">
        <v>6</v>
      </c>
      <c r="C14" s="6" t="s">
        <v>3</v>
      </c>
      <c r="D14" s="6" t="s">
        <v>235</v>
      </c>
      <c r="E14" s="6" t="s">
        <v>236</v>
      </c>
      <c r="F14" s="6" t="s">
        <v>237</v>
      </c>
    </row>
    <row r="15" spans="1:6" ht="28" customHeight="1" x14ac:dyDescent="0.2">
      <c r="A15" s="9" t="s">
        <v>15</v>
      </c>
      <c r="B15" s="10" t="s">
        <v>238</v>
      </c>
      <c r="C15" s="9" t="s">
        <v>239</v>
      </c>
      <c r="D15" s="10" t="s">
        <v>240</v>
      </c>
      <c r="E15" s="10" t="s">
        <v>241</v>
      </c>
      <c r="F15" s="9" t="s">
        <v>242</v>
      </c>
    </row>
    <row r="16" spans="1:6" ht="28" customHeight="1" x14ac:dyDescent="0.2">
      <c r="A16" s="11" t="s">
        <v>62</v>
      </c>
      <c r="B16" s="12" t="s">
        <v>243</v>
      </c>
      <c r="C16" s="11" t="s">
        <v>244</v>
      </c>
      <c r="D16" s="12" t="s">
        <v>245</v>
      </c>
      <c r="E16" s="12" t="s">
        <v>246</v>
      </c>
      <c r="F16" s="11" t="s">
        <v>247</v>
      </c>
    </row>
    <row r="17" spans="1:6" ht="28" customHeight="1" x14ac:dyDescent="0.2">
      <c r="A17" s="13" t="s">
        <v>91</v>
      </c>
      <c r="B17" s="14" t="s">
        <v>248</v>
      </c>
      <c r="C17" s="13" t="s">
        <v>249</v>
      </c>
      <c r="D17" s="14" t="s">
        <v>250</v>
      </c>
      <c r="E17" s="14" t="s">
        <v>251</v>
      </c>
      <c r="F17" s="13" t="s">
        <v>252</v>
      </c>
    </row>
    <row r="18" spans="1:6" ht="28" customHeight="1" x14ac:dyDescent="0.2">
      <c r="A18" s="15" t="s">
        <v>134</v>
      </c>
      <c r="B18" s="16" t="s">
        <v>253</v>
      </c>
      <c r="C18" s="15" t="s">
        <v>254</v>
      </c>
      <c r="D18" s="16" t="s">
        <v>255</v>
      </c>
      <c r="E18" s="16" t="s">
        <v>256</v>
      </c>
      <c r="F18" s="15" t="s">
        <v>257</v>
      </c>
    </row>
    <row r="19" spans="1:6" ht="28" customHeight="1" x14ac:dyDescent="0.2">
      <c r="A19" s="17" t="s">
        <v>180</v>
      </c>
      <c r="B19" s="18" t="s">
        <v>258</v>
      </c>
      <c r="C19" s="17" t="s">
        <v>259</v>
      </c>
      <c r="D19" s="18" t="s">
        <v>260</v>
      </c>
      <c r="E19" s="18" t="s">
        <v>261</v>
      </c>
      <c r="F19" s="17" t="s">
        <v>262</v>
      </c>
    </row>
    <row r="21" spans="1:6" ht="16" customHeight="1" x14ac:dyDescent="0.2">
      <c r="A21" s="5" t="s">
        <v>263</v>
      </c>
    </row>
    <row r="22" spans="1:6" x14ac:dyDescent="0.2">
      <c r="A22" s="3" t="s">
        <v>264</v>
      </c>
      <c r="B22" s="44" t="s">
        <v>265</v>
      </c>
      <c r="C22" s="43"/>
      <c r="D22" s="43"/>
      <c r="E22" s="43"/>
      <c r="F22" s="43"/>
    </row>
    <row r="23" spans="1:6" x14ac:dyDescent="0.2">
      <c r="A23" s="3" t="s">
        <v>266</v>
      </c>
      <c r="B23" s="44" t="s">
        <v>267</v>
      </c>
      <c r="C23" s="43"/>
      <c r="D23" s="43"/>
      <c r="E23" s="43"/>
      <c r="F23" s="43"/>
    </row>
    <row r="24" spans="1:6" x14ac:dyDescent="0.2">
      <c r="A24" s="3" t="s">
        <v>268</v>
      </c>
      <c r="B24" s="44" t="s">
        <v>269</v>
      </c>
      <c r="C24" s="43"/>
      <c r="D24" s="43"/>
      <c r="E24" s="43"/>
      <c r="F24" s="43"/>
    </row>
    <row r="25" spans="1:6" x14ac:dyDescent="0.2">
      <c r="A25" s="3" t="s">
        <v>270</v>
      </c>
      <c r="B25" s="44" t="s">
        <v>271</v>
      </c>
      <c r="C25" s="43"/>
      <c r="D25" s="43"/>
      <c r="E25" s="43"/>
      <c r="F25" s="43"/>
    </row>
    <row r="26" spans="1:6" x14ac:dyDescent="0.2">
      <c r="A26" s="3" t="s">
        <v>272</v>
      </c>
      <c r="B26" s="44" t="s">
        <v>273</v>
      </c>
      <c r="C26" s="43"/>
      <c r="D26" s="43"/>
      <c r="E26" s="43"/>
      <c r="F26" s="43"/>
    </row>
    <row r="28" spans="1:6" ht="16" customHeight="1" x14ac:dyDescent="0.2">
      <c r="A28" s="5" t="s">
        <v>274</v>
      </c>
    </row>
    <row r="29" spans="1:6" x14ac:dyDescent="0.2">
      <c r="A29" s="44" t="s">
        <v>275</v>
      </c>
      <c r="B29" s="43"/>
      <c r="C29" s="43"/>
      <c r="D29" s="43"/>
      <c r="E29" s="43"/>
      <c r="F29" s="43"/>
    </row>
    <row r="30" spans="1:6" x14ac:dyDescent="0.2">
      <c r="A30" s="44" t="s">
        <v>276</v>
      </c>
      <c r="B30" s="43"/>
      <c r="C30" s="43"/>
      <c r="D30" s="43"/>
      <c r="E30" s="43"/>
      <c r="F30" s="43"/>
    </row>
    <row r="31" spans="1:6" x14ac:dyDescent="0.2">
      <c r="A31" s="44" t="s">
        <v>277</v>
      </c>
      <c r="B31" s="43"/>
      <c r="C31" s="43"/>
      <c r="D31" s="43"/>
      <c r="E31" s="43"/>
      <c r="F31" s="43"/>
    </row>
    <row r="32" spans="1:6" x14ac:dyDescent="0.2">
      <c r="A32" s="44" t="s">
        <v>278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24" activePane="bottomRight" state="frozen"/>
      <selection pane="topRight"/>
      <selection pane="bottomLeft"/>
      <selection pane="bottomRight" activeCell="G31" sqref="G31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customHeight="1" x14ac:dyDescent="0.2">
      <c r="A1" s="1" t="s">
        <v>0</v>
      </c>
    </row>
    <row r="2" spans="1:12" x14ac:dyDescent="0.2">
      <c r="A2" s="2" t="s">
        <v>1</v>
      </c>
    </row>
    <row r="4" spans="1:12" ht="28" customHeight="1" x14ac:dyDescent="0.2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</row>
    <row r="5" spans="1:12" ht="28" customHeight="1" x14ac:dyDescent="0.2">
      <c r="A5" s="9" t="s">
        <v>14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15</v>
      </c>
      <c r="F5" s="10" t="s">
        <v>16</v>
      </c>
      <c r="G5" s="9" t="s">
        <v>17</v>
      </c>
      <c r="H5" s="9" t="s">
        <v>17</v>
      </c>
      <c r="I5" s="10" t="s">
        <v>18</v>
      </c>
      <c r="J5" s="20" t="s">
        <v>19</v>
      </c>
      <c r="K5" s="21">
        <v>0</v>
      </c>
      <c r="L5" s="22"/>
    </row>
    <row r="6" spans="1:12" ht="70" x14ac:dyDescent="0.2">
      <c r="A6" s="9" t="s">
        <v>20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15</v>
      </c>
      <c r="F6" s="10" t="s">
        <v>21</v>
      </c>
      <c r="G6" s="9" t="s">
        <v>22</v>
      </c>
      <c r="H6" s="9" t="s">
        <v>17</v>
      </c>
      <c r="I6" s="10" t="s">
        <v>23</v>
      </c>
      <c r="J6" s="20" t="s">
        <v>24</v>
      </c>
      <c r="K6" s="21">
        <v>0.8</v>
      </c>
      <c r="L6" s="22" t="s">
        <v>25</v>
      </c>
    </row>
    <row r="7" spans="1:12" ht="42" customHeight="1" x14ac:dyDescent="0.2">
      <c r="A7" s="9" t="s">
        <v>26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15</v>
      </c>
      <c r="F7" s="10" t="s">
        <v>27</v>
      </c>
      <c r="G7" s="9" t="s">
        <v>22</v>
      </c>
      <c r="H7" s="9" t="s">
        <v>28</v>
      </c>
      <c r="I7" s="10" t="s">
        <v>29</v>
      </c>
      <c r="J7" s="20" t="s">
        <v>30</v>
      </c>
      <c r="K7" s="21">
        <v>1</v>
      </c>
      <c r="L7" s="22" t="s">
        <v>31</v>
      </c>
    </row>
    <row r="8" spans="1:12" ht="28" customHeight="1" x14ac:dyDescent="0.2">
      <c r="A8" s="9" t="s">
        <v>32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15</v>
      </c>
      <c r="F8" s="10" t="s">
        <v>33</v>
      </c>
      <c r="G8" s="9" t="s">
        <v>34</v>
      </c>
      <c r="H8" s="9" t="s">
        <v>22</v>
      </c>
      <c r="I8" s="10" t="s">
        <v>35</v>
      </c>
      <c r="J8" s="20" t="s">
        <v>30</v>
      </c>
      <c r="K8" s="21">
        <v>1</v>
      </c>
      <c r="L8" s="22" t="s">
        <v>36</v>
      </c>
    </row>
    <row r="9" spans="1:12" ht="42" customHeight="1" x14ac:dyDescent="0.2">
      <c r="A9" s="9" t="s">
        <v>37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15</v>
      </c>
      <c r="F9" s="10" t="s">
        <v>38</v>
      </c>
      <c r="G9" s="9" t="s">
        <v>28</v>
      </c>
      <c r="H9" s="9" t="s">
        <v>34</v>
      </c>
      <c r="I9" s="10" t="s">
        <v>39</v>
      </c>
      <c r="J9" s="20" t="s">
        <v>30</v>
      </c>
      <c r="K9" s="21">
        <v>1</v>
      </c>
      <c r="L9" s="22" t="s">
        <v>40</v>
      </c>
    </row>
    <row r="10" spans="1:12" ht="56" customHeight="1" x14ac:dyDescent="0.2">
      <c r="A10" s="9" t="s">
        <v>41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15</v>
      </c>
      <c r="F10" s="10" t="s">
        <v>42</v>
      </c>
      <c r="G10" s="9" t="s">
        <v>22</v>
      </c>
      <c r="H10" s="9" t="s">
        <v>34</v>
      </c>
      <c r="I10" s="10" t="s">
        <v>43</v>
      </c>
      <c r="J10" s="20" t="s">
        <v>30</v>
      </c>
      <c r="K10" s="21">
        <v>1</v>
      </c>
      <c r="L10" s="22" t="s">
        <v>44</v>
      </c>
    </row>
    <row r="11" spans="1:12" ht="70" x14ac:dyDescent="0.2">
      <c r="A11" s="9" t="s">
        <v>45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15</v>
      </c>
      <c r="F11" s="10" t="s">
        <v>46</v>
      </c>
      <c r="G11" s="9" t="s">
        <v>34</v>
      </c>
      <c r="H11" s="9" t="s">
        <v>28</v>
      </c>
      <c r="I11" s="10" t="s">
        <v>47</v>
      </c>
      <c r="J11" s="20" t="s">
        <v>30</v>
      </c>
      <c r="K11" s="21">
        <v>1</v>
      </c>
      <c r="L11" s="22" t="s">
        <v>48</v>
      </c>
    </row>
    <row r="12" spans="1:12" ht="56" customHeight="1" x14ac:dyDescent="0.2">
      <c r="A12" s="9" t="s">
        <v>49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15</v>
      </c>
      <c r="F12" s="10" t="s">
        <v>50</v>
      </c>
      <c r="G12" s="9" t="s">
        <v>22</v>
      </c>
      <c r="H12" s="9" t="s">
        <v>34</v>
      </c>
      <c r="I12" s="10" t="s">
        <v>51</v>
      </c>
      <c r="J12" s="20" t="s">
        <v>30</v>
      </c>
      <c r="K12" s="21">
        <v>1</v>
      </c>
      <c r="L12" s="22" t="s">
        <v>52</v>
      </c>
    </row>
    <row r="13" spans="1:12" ht="56" x14ac:dyDescent="0.2">
      <c r="A13" s="9" t="s">
        <v>53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15</v>
      </c>
      <c r="F13" s="10" t="s">
        <v>54</v>
      </c>
      <c r="G13" s="9" t="s">
        <v>28</v>
      </c>
      <c r="H13" s="9" t="s">
        <v>22</v>
      </c>
      <c r="I13" s="10" t="s">
        <v>55</v>
      </c>
      <c r="J13" s="20" t="s">
        <v>30</v>
      </c>
      <c r="K13" s="21">
        <v>1</v>
      </c>
      <c r="L13" s="22" t="s">
        <v>56</v>
      </c>
    </row>
    <row r="14" spans="1:12" ht="84" x14ac:dyDescent="0.2">
      <c r="A14" s="9" t="s">
        <v>57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15</v>
      </c>
      <c r="F14" s="10" t="s">
        <v>58</v>
      </c>
      <c r="G14" s="9" t="s">
        <v>22</v>
      </c>
      <c r="H14" s="9" t="s">
        <v>17</v>
      </c>
      <c r="I14" s="10" t="s">
        <v>59</v>
      </c>
      <c r="J14" s="20" t="s">
        <v>30</v>
      </c>
      <c r="K14" s="21">
        <v>1</v>
      </c>
      <c r="L14" s="22" t="s">
        <v>60</v>
      </c>
    </row>
    <row r="15" spans="1:12" ht="28" customHeight="1" x14ac:dyDescent="0.2">
      <c r="A15" s="11" t="s">
        <v>61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62</v>
      </c>
      <c r="F15" s="12" t="s">
        <v>63</v>
      </c>
      <c r="G15" s="11" t="s">
        <v>34</v>
      </c>
      <c r="H15" s="11" t="s">
        <v>28</v>
      </c>
      <c r="I15" s="12" t="s">
        <v>64</v>
      </c>
      <c r="J15" s="20" t="s">
        <v>30</v>
      </c>
      <c r="K15" s="21">
        <v>1</v>
      </c>
      <c r="L15" s="22" t="s">
        <v>65</v>
      </c>
    </row>
    <row r="16" spans="1:12" ht="42" customHeight="1" x14ac:dyDescent="0.2">
      <c r="A16" s="11" t="s">
        <v>66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62</v>
      </c>
      <c r="F16" s="12" t="s">
        <v>67</v>
      </c>
      <c r="G16" s="11" t="s">
        <v>22</v>
      </c>
      <c r="H16" s="11" t="s">
        <v>34</v>
      </c>
      <c r="I16" s="12" t="s">
        <v>68</v>
      </c>
      <c r="J16" s="20" t="s">
        <v>30</v>
      </c>
      <c r="K16" s="21">
        <v>1</v>
      </c>
      <c r="L16" s="22" t="s">
        <v>69</v>
      </c>
    </row>
    <row r="17" spans="1:12" ht="28" customHeight="1" x14ac:dyDescent="0.2">
      <c r="A17" s="11" t="s">
        <v>70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62</v>
      </c>
      <c r="F17" s="12" t="s">
        <v>71</v>
      </c>
      <c r="G17" s="11" t="s">
        <v>28</v>
      </c>
      <c r="H17" s="11" t="s">
        <v>22</v>
      </c>
      <c r="I17" s="12" t="s">
        <v>72</v>
      </c>
      <c r="J17" s="20" t="s">
        <v>30</v>
      </c>
      <c r="K17" s="21">
        <v>1</v>
      </c>
      <c r="L17" s="22" t="s">
        <v>73</v>
      </c>
    </row>
    <row r="18" spans="1:12" ht="28" customHeight="1" x14ac:dyDescent="0.2">
      <c r="A18" s="11" t="s">
        <v>74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62</v>
      </c>
      <c r="F18" s="12" t="s">
        <v>75</v>
      </c>
      <c r="G18" s="11" t="s">
        <v>34</v>
      </c>
      <c r="H18" s="11" t="s">
        <v>17</v>
      </c>
      <c r="I18" s="12" t="s">
        <v>76</v>
      </c>
      <c r="J18" s="20" t="s">
        <v>30</v>
      </c>
      <c r="K18" s="21">
        <v>1</v>
      </c>
      <c r="L18" s="22" t="s">
        <v>77</v>
      </c>
    </row>
    <row r="19" spans="1:12" ht="28" customHeight="1" x14ac:dyDescent="0.2">
      <c r="A19" s="11" t="s">
        <v>78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62</v>
      </c>
      <c r="F19" s="12" t="s">
        <v>79</v>
      </c>
      <c r="G19" s="11" t="s">
        <v>28</v>
      </c>
      <c r="H19" s="11" t="s">
        <v>34</v>
      </c>
      <c r="I19" s="12" t="s">
        <v>80</v>
      </c>
      <c r="J19" s="20" t="s">
        <v>30</v>
      </c>
      <c r="K19" s="21">
        <v>1</v>
      </c>
      <c r="L19" s="22" t="s">
        <v>81</v>
      </c>
    </row>
    <row r="20" spans="1:12" ht="28" customHeight="1" x14ac:dyDescent="0.2">
      <c r="A20" s="11" t="s">
        <v>82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62</v>
      </c>
      <c r="F20" s="12" t="s">
        <v>83</v>
      </c>
      <c r="G20" s="11" t="s">
        <v>34</v>
      </c>
      <c r="H20" s="11" t="s">
        <v>22</v>
      </c>
      <c r="I20" s="12" t="s">
        <v>84</v>
      </c>
      <c r="J20" s="20" t="s">
        <v>30</v>
      </c>
      <c r="K20" s="21">
        <v>1</v>
      </c>
      <c r="L20" s="22" t="s">
        <v>85</v>
      </c>
    </row>
    <row r="21" spans="1:12" ht="70" x14ac:dyDescent="0.2">
      <c r="A21" s="11" t="s">
        <v>86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62</v>
      </c>
      <c r="F21" s="12" t="s">
        <v>87</v>
      </c>
      <c r="G21" s="11" t="s">
        <v>22</v>
      </c>
      <c r="H21" s="11" t="s">
        <v>17</v>
      </c>
      <c r="I21" s="12" t="s">
        <v>88</v>
      </c>
      <c r="J21" s="20" t="s">
        <v>24</v>
      </c>
      <c r="K21" s="21">
        <v>0.9</v>
      </c>
      <c r="L21" s="22" t="s">
        <v>89</v>
      </c>
    </row>
    <row r="22" spans="1:12" ht="28" customHeight="1" x14ac:dyDescent="0.2">
      <c r="A22" s="13" t="s">
        <v>90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91</v>
      </c>
      <c r="F22" s="14" t="s">
        <v>92</v>
      </c>
      <c r="G22" s="13" t="s">
        <v>34</v>
      </c>
      <c r="H22" s="13" t="s">
        <v>17</v>
      </c>
      <c r="I22" s="14" t="s">
        <v>93</v>
      </c>
      <c r="J22" s="20" t="s">
        <v>19</v>
      </c>
      <c r="K22" s="21">
        <v>0</v>
      </c>
      <c r="L22" s="22"/>
    </row>
    <row r="23" spans="1:12" ht="28" customHeight="1" x14ac:dyDescent="0.2">
      <c r="A23" s="13" t="s">
        <v>94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91</v>
      </c>
      <c r="F23" s="14" t="s">
        <v>95</v>
      </c>
      <c r="G23" s="13" t="s">
        <v>34</v>
      </c>
      <c r="H23" s="13" t="s">
        <v>28</v>
      </c>
      <c r="I23" s="14" t="s">
        <v>96</v>
      </c>
      <c r="J23" s="20" t="s">
        <v>19</v>
      </c>
      <c r="K23" s="21">
        <v>0</v>
      </c>
      <c r="L23" s="22"/>
    </row>
    <row r="24" spans="1:12" ht="126" x14ac:dyDescent="0.2">
      <c r="A24" s="13" t="s">
        <v>97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91</v>
      </c>
      <c r="F24" s="14" t="s">
        <v>98</v>
      </c>
      <c r="G24" s="13" t="s">
        <v>22</v>
      </c>
      <c r="H24" s="13" t="s">
        <v>34</v>
      </c>
      <c r="I24" s="14" t="s">
        <v>99</v>
      </c>
      <c r="J24" s="20" t="s">
        <v>30</v>
      </c>
      <c r="K24" s="21">
        <v>1</v>
      </c>
      <c r="L24" s="22" t="s">
        <v>399</v>
      </c>
    </row>
    <row r="25" spans="1:12" x14ac:dyDescent="0.2">
      <c r="A25" s="13" t="s">
        <v>100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91</v>
      </c>
      <c r="F25" s="14" t="s">
        <v>101</v>
      </c>
      <c r="G25" s="13" t="s">
        <v>28</v>
      </c>
      <c r="H25" s="13" t="s">
        <v>22</v>
      </c>
      <c r="I25" s="14" t="s">
        <v>102</v>
      </c>
      <c r="J25" s="20" t="s">
        <v>19</v>
      </c>
      <c r="K25" s="21">
        <v>0</v>
      </c>
      <c r="L25" s="22"/>
    </row>
    <row r="26" spans="1:12" ht="28" customHeight="1" x14ac:dyDescent="0.2">
      <c r="A26" s="13" t="s">
        <v>103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91</v>
      </c>
      <c r="F26" s="14" t="s">
        <v>104</v>
      </c>
      <c r="G26" s="13" t="s">
        <v>28</v>
      </c>
      <c r="H26" s="13" t="s">
        <v>22</v>
      </c>
      <c r="I26" s="14" t="s">
        <v>105</v>
      </c>
      <c r="J26" s="20" t="s">
        <v>19</v>
      </c>
      <c r="K26" s="21">
        <v>0</v>
      </c>
      <c r="L26" s="22"/>
    </row>
    <row r="27" spans="1:12" x14ac:dyDescent="0.2">
      <c r="A27" s="13" t="s">
        <v>106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91</v>
      </c>
      <c r="F27" s="14" t="s">
        <v>107</v>
      </c>
      <c r="G27" s="13" t="s">
        <v>34</v>
      </c>
      <c r="H27" s="13" t="s">
        <v>28</v>
      </c>
      <c r="I27" s="14" t="s">
        <v>108</v>
      </c>
      <c r="J27" s="20" t="s">
        <v>19</v>
      </c>
      <c r="K27" s="21">
        <v>0</v>
      </c>
      <c r="L27" s="22"/>
    </row>
    <row r="28" spans="1:12" ht="98" x14ac:dyDescent="0.2">
      <c r="A28" s="13" t="s">
        <v>109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91</v>
      </c>
      <c r="F28" s="14" t="s">
        <v>110</v>
      </c>
      <c r="G28" s="13" t="s">
        <v>22</v>
      </c>
      <c r="H28" s="13" t="s">
        <v>28</v>
      </c>
      <c r="I28" s="14" t="s">
        <v>111</v>
      </c>
      <c r="J28" s="20" t="s">
        <v>30</v>
      </c>
      <c r="K28" s="21">
        <v>1</v>
      </c>
      <c r="L28" s="22" t="s">
        <v>400</v>
      </c>
    </row>
    <row r="29" spans="1:12" x14ac:dyDescent="0.2">
      <c r="A29" s="13" t="s">
        <v>112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91</v>
      </c>
      <c r="F29" s="14" t="s">
        <v>113</v>
      </c>
      <c r="G29" s="13" t="s">
        <v>28</v>
      </c>
      <c r="H29" s="13" t="s">
        <v>34</v>
      </c>
      <c r="I29" s="14" t="s">
        <v>114</v>
      </c>
      <c r="J29" s="20" t="s">
        <v>19</v>
      </c>
      <c r="K29" s="21">
        <v>0</v>
      </c>
      <c r="L29" s="22"/>
    </row>
    <row r="30" spans="1:12" x14ac:dyDescent="0.2">
      <c r="A30" s="13" t="s">
        <v>115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91</v>
      </c>
      <c r="F30" s="14" t="s">
        <v>116</v>
      </c>
      <c r="G30" s="13" t="s">
        <v>34</v>
      </c>
      <c r="H30" s="13" t="s">
        <v>28</v>
      </c>
      <c r="I30" s="14" t="s">
        <v>117</v>
      </c>
      <c r="J30" s="20" t="s">
        <v>19</v>
      </c>
      <c r="K30" s="21">
        <v>0</v>
      </c>
      <c r="L30" s="22"/>
    </row>
    <row r="31" spans="1:12" ht="98" x14ac:dyDescent="0.2">
      <c r="A31" s="13" t="s">
        <v>118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91</v>
      </c>
      <c r="F31" s="14" t="s">
        <v>119</v>
      </c>
      <c r="G31" s="13" t="s">
        <v>22</v>
      </c>
      <c r="H31" s="13" t="s">
        <v>28</v>
      </c>
      <c r="I31" s="14" t="s">
        <v>120</v>
      </c>
      <c r="J31" s="20" t="s">
        <v>30</v>
      </c>
      <c r="K31" s="21">
        <v>1</v>
      </c>
      <c r="L31" s="22" t="s">
        <v>401</v>
      </c>
    </row>
    <row r="32" spans="1:12" x14ac:dyDescent="0.2">
      <c r="A32" s="13" t="s">
        <v>121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91</v>
      </c>
      <c r="F32" s="14" t="s">
        <v>122</v>
      </c>
      <c r="G32" s="13" t="s">
        <v>28</v>
      </c>
      <c r="H32" s="13" t="s">
        <v>34</v>
      </c>
      <c r="I32" s="14" t="s">
        <v>123</v>
      </c>
      <c r="J32" s="20" t="s">
        <v>19</v>
      </c>
      <c r="K32" s="21">
        <v>0</v>
      </c>
      <c r="L32" s="22"/>
    </row>
    <row r="33" spans="1:12" ht="28" customHeight="1" x14ac:dyDescent="0.2">
      <c r="A33" s="13" t="s">
        <v>124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91</v>
      </c>
      <c r="F33" s="14" t="s">
        <v>125</v>
      </c>
      <c r="G33" s="13" t="s">
        <v>34</v>
      </c>
      <c r="H33" s="13" t="s">
        <v>17</v>
      </c>
      <c r="I33" s="14" t="s">
        <v>126</v>
      </c>
      <c r="J33" s="20" t="s">
        <v>19</v>
      </c>
      <c r="K33" s="21">
        <v>0</v>
      </c>
      <c r="L33" s="22"/>
    </row>
    <row r="34" spans="1:12" ht="28" customHeight="1" x14ac:dyDescent="0.2">
      <c r="A34" s="13" t="s">
        <v>127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91</v>
      </c>
      <c r="F34" s="14" t="s">
        <v>128</v>
      </c>
      <c r="G34" s="13" t="s">
        <v>28</v>
      </c>
      <c r="H34" s="13" t="s">
        <v>17</v>
      </c>
      <c r="I34" s="14" t="s">
        <v>129</v>
      </c>
      <c r="J34" s="20" t="s">
        <v>19</v>
      </c>
      <c r="K34" s="21">
        <v>0</v>
      </c>
      <c r="L34" s="22"/>
    </row>
    <row r="35" spans="1:12" x14ac:dyDescent="0.2">
      <c r="A35" s="13" t="s">
        <v>130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91</v>
      </c>
      <c r="F35" s="14" t="s">
        <v>131</v>
      </c>
      <c r="G35" s="13" t="s">
        <v>22</v>
      </c>
      <c r="H35" s="13" t="s">
        <v>17</v>
      </c>
      <c r="I35" s="14" t="s">
        <v>132</v>
      </c>
      <c r="J35" s="20" t="s">
        <v>19</v>
      </c>
      <c r="K35" s="21">
        <v>0</v>
      </c>
      <c r="L35" s="22"/>
    </row>
    <row r="36" spans="1:12" x14ac:dyDescent="0.2">
      <c r="A36" s="15" t="s">
        <v>133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134</v>
      </c>
      <c r="F36" s="16" t="s">
        <v>135</v>
      </c>
      <c r="G36" s="15" t="s">
        <v>34</v>
      </c>
      <c r="H36" s="15" t="s">
        <v>28</v>
      </c>
      <c r="I36" s="16" t="s">
        <v>136</v>
      </c>
      <c r="J36" s="20" t="s">
        <v>19</v>
      </c>
      <c r="K36" s="21">
        <v>0</v>
      </c>
      <c r="L36" s="22"/>
    </row>
    <row r="37" spans="1:12" x14ac:dyDescent="0.2">
      <c r="A37" s="15" t="s">
        <v>137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134</v>
      </c>
      <c r="F37" s="16" t="s">
        <v>138</v>
      </c>
      <c r="G37" s="15" t="s">
        <v>22</v>
      </c>
      <c r="H37" s="15" t="s">
        <v>34</v>
      </c>
      <c r="I37" s="16" t="s">
        <v>139</v>
      </c>
      <c r="J37" s="20" t="s">
        <v>19</v>
      </c>
      <c r="K37" s="21">
        <v>0</v>
      </c>
      <c r="L37" s="22"/>
    </row>
    <row r="38" spans="1:12" x14ac:dyDescent="0.2">
      <c r="A38" s="15" t="s">
        <v>140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134</v>
      </c>
      <c r="F38" s="16" t="s">
        <v>141</v>
      </c>
      <c r="G38" s="15" t="s">
        <v>28</v>
      </c>
      <c r="H38" s="15" t="s">
        <v>22</v>
      </c>
      <c r="I38" s="16" t="s">
        <v>142</v>
      </c>
      <c r="J38" s="20" t="s">
        <v>19</v>
      </c>
      <c r="K38" s="21">
        <v>0</v>
      </c>
      <c r="L38" s="22"/>
    </row>
    <row r="39" spans="1:12" x14ac:dyDescent="0.2">
      <c r="A39" s="15" t="s">
        <v>143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134</v>
      </c>
      <c r="F39" s="16" t="s">
        <v>144</v>
      </c>
      <c r="G39" s="15" t="s">
        <v>34</v>
      </c>
      <c r="H39" s="15" t="s">
        <v>17</v>
      </c>
      <c r="I39" s="16" t="s">
        <v>145</v>
      </c>
      <c r="J39" s="20" t="s">
        <v>19</v>
      </c>
      <c r="K39" s="21">
        <v>0</v>
      </c>
      <c r="L39" s="22"/>
    </row>
    <row r="40" spans="1:12" ht="28" customHeight="1" x14ac:dyDescent="0.2">
      <c r="A40" s="15" t="s">
        <v>146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134</v>
      </c>
      <c r="F40" s="16" t="s">
        <v>147</v>
      </c>
      <c r="G40" s="15" t="s">
        <v>34</v>
      </c>
      <c r="H40" s="15" t="s">
        <v>28</v>
      </c>
      <c r="I40" s="16" t="s">
        <v>148</v>
      </c>
      <c r="J40" s="20" t="s">
        <v>19</v>
      </c>
      <c r="K40" s="21">
        <v>0</v>
      </c>
      <c r="L40" s="22"/>
    </row>
    <row r="41" spans="1:12" ht="28" customHeight="1" x14ac:dyDescent="0.2">
      <c r="A41" s="15" t="s">
        <v>149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134</v>
      </c>
      <c r="F41" s="16" t="s">
        <v>150</v>
      </c>
      <c r="G41" s="15" t="s">
        <v>22</v>
      </c>
      <c r="H41" s="15" t="s">
        <v>28</v>
      </c>
      <c r="I41" s="16" t="s">
        <v>151</v>
      </c>
      <c r="J41" s="20" t="s">
        <v>19</v>
      </c>
      <c r="K41" s="21">
        <v>0</v>
      </c>
      <c r="L41" s="22"/>
    </row>
    <row r="42" spans="1:12" ht="28" customHeight="1" x14ac:dyDescent="0.2">
      <c r="A42" s="15" t="s">
        <v>152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134</v>
      </c>
      <c r="F42" s="16" t="s">
        <v>153</v>
      </c>
      <c r="G42" s="15" t="s">
        <v>28</v>
      </c>
      <c r="H42" s="15" t="s">
        <v>34</v>
      </c>
      <c r="I42" s="16" t="s">
        <v>154</v>
      </c>
      <c r="J42" s="20" t="s">
        <v>19</v>
      </c>
      <c r="K42" s="21">
        <v>0</v>
      </c>
      <c r="L42" s="22"/>
    </row>
    <row r="43" spans="1:12" ht="28" customHeight="1" x14ac:dyDescent="0.2">
      <c r="A43" s="15" t="s">
        <v>155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134</v>
      </c>
      <c r="F43" s="16" t="s">
        <v>156</v>
      </c>
      <c r="G43" s="15" t="s">
        <v>28</v>
      </c>
      <c r="H43" s="15" t="s">
        <v>17</v>
      </c>
      <c r="I43" s="16" t="s">
        <v>157</v>
      </c>
      <c r="J43" s="20" t="s">
        <v>19</v>
      </c>
      <c r="K43" s="21">
        <v>0</v>
      </c>
      <c r="L43" s="22"/>
    </row>
    <row r="44" spans="1:12" ht="28" customHeight="1" x14ac:dyDescent="0.2">
      <c r="A44" s="15" t="s">
        <v>158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134</v>
      </c>
      <c r="F44" s="16" t="s">
        <v>159</v>
      </c>
      <c r="G44" s="15" t="s">
        <v>34</v>
      </c>
      <c r="H44" s="15" t="s">
        <v>22</v>
      </c>
      <c r="I44" s="16" t="s">
        <v>160</v>
      </c>
      <c r="J44" s="20" t="s">
        <v>19</v>
      </c>
      <c r="K44" s="21">
        <v>0</v>
      </c>
      <c r="L44" s="22"/>
    </row>
    <row r="45" spans="1:12" x14ac:dyDescent="0.2">
      <c r="A45" s="15" t="s">
        <v>161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134</v>
      </c>
      <c r="F45" s="16" t="s">
        <v>162</v>
      </c>
      <c r="G45" s="15" t="s">
        <v>22</v>
      </c>
      <c r="H45" s="15" t="s">
        <v>28</v>
      </c>
      <c r="I45" s="16" t="s">
        <v>163</v>
      </c>
      <c r="J45" s="20" t="s">
        <v>19</v>
      </c>
      <c r="K45" s="21">
        <v>0</v>
      </c>
      <c r="L45" s="22"/>
    </row>
    <row r="46" spans="1:12" x14ac:dyDescent="0.2">
      <c r="A46" s="15" t="s">
        <v>164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134</v>
      </c>
      <c r="F46" s="16" t="s">
        <v>165</v>
      </c>
      <c r="G46" s="15" t="s">
        <v>28</v>
      </c>
      <c r="H46" s="15" t="s">
        <v>34</v>
      </c>
      <c r="I46" s="16" t="s">
        <v>166</v>
      </c>
      <c r="J46" s="20" t="s">
        <v>19</v>
      </c>
      <c r="K46" s="21">
        <v>0</v>
      </c>
      <c r="L46" s="22"/>
    </row>
    <row r="47" spans="1:12" ht="28" customHeight="1" x14ac:dyDescent="0.2">
      <c r="A47" s="15" t="s">
        <v>167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134</v>
      </c>
      <c r="F47" s="16" t="s">
        <v>168</v>
      </c>
      <c r="G47" s="15" t="s">
        <v>28</v>
      </c>
      <c r="H47" s="15" t="s">
        <v>17</v>
      </c>
      <c r="I47" s="16" t="s">
        <v>169</v>
      </c>
      <c r="J47" s="20" t="s">
        <v>19</v>
      </c>
      <c r="K47" s="21">
        <v>0</v>
      </c>
      <c r="L47" s="22"/>
    </row>
    <row r="48" spans="1:12" x14ac:dyDescent="0.2">
      <c r="A48" s="15" t="s">
        <v>170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134</v>
      </c>
      <c r="F48" s="16" t="s">
        <v>171</v>
      </c>
      <c r="G48" s="15" t="s">
        <v>28</v>
      </c>
      <c r="H48" s="15" t="s">
        <v>34</v>
      </c>
      <c r="I48" s="16" t="s">
        <v>172</v>
      </c>
      <c r="J48" s="20" t="s">
        <v>19</v>
      </c>
      <c r="K48" s="21">
        <v>0</v>
      </c>
      <c r="L48" s="22"/>
    </row>
    <row r="49" spans="1:12" ht="28" customHeight="1" x14ac:dyDescent="0.2">
      <c r="A49" s="15" t="s">
        <v>173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134</v>
      </c>
      <c r="F49" s="16" t="s">
        <v>174</v>
      </c>
      <c r="G49" s="15" t="s">
        <v>28</v>
      </c>
      <c r="H49" s="15" t="s">
        <v>22</v>
      </c>
      <c r="I49" s="16" t="s">
        <v>175</v>
      </c>
      <c r="J49" s="20" t="s">
        <v>19</v>
      </c>
      <c r="K49" s="21">
        <v>0</v>
      </c>
      <c r="L49" s="22"/>
    </row>
    <row r="50" spans="1:12" x14ac:dyDescent="0.2">
      <c r="A50" s="15" t="s">
        <v>176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134</v>
      </c>
      <c r="F50" s="16" t="s">
        <v>177</v>
      </c>
      <c r="G50" s="15" t="s">
        <v>22</v>
      </c>
      <c r="H50" s="15" t="s">
        <v>17</v>
      </c>
      <c r="I50" s="16" t="s">
        <v>178</v>
      </c>
      <c r="J50" s="20" t="s">
        <v>19</v>
      </c>
      <c r="K50" s="21">
        <v>0</v>
      </c>
      <c r="L50" s="22"/>
    </row>
    <row r="51" spans="1:12" ht="28" customHeight="1" x14ac:dyDescent="0.2">
      <c r="A51" s="17" t="s">
        <v>179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180</v>
      </c>
      <c r="F51" s="18" t="s">
        <v>181</v>
      </c>
      <c r="G51" s="17" t="s">
        <v>22</v>
      </c>
      <c r="H51" s="17" t="s">
        <v>34</v>
      </c>
      <c r="I51" s="18" t="s">
        <v>182</v>
      </c>
      <c r="J51" s="20" t="s">
        <v>19</v>
      </c>
      <c r="K51" s="21">
        <v>0</v>
      </c>
      <c r="L51" s="22"/>
    </row>
    <row r="52" spans="1:12" x14ac:dyDescent="0.2">
      <c r="A52" s="17" t="s">
        <v>183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180</v>
      </c>
      <c r="F52" s="18" t="s">
        <v>184</v>
      </c>
      <c r="G52" s="17" t="s">
        <v>34</v>
      </c>
      <c r="H52" s="17" t="s">
        <v>22</v>
      </c>
      <c r="I52" s="18" t="s">
        <v>185</v>
      </c>
      <c r="J52" s="20" t="s">
        <v>19</v>
      </c>
      <c r="K52" s="21">
        <v>0</v>
      </c>
      <c r="L52" s="22"/>
    </row>
    <row r="53" spans="1:12" ht="28" customHeight="1" x14ac:dyDescent="0.2">
      <c r="A53" s="17" t="s">
        <v>186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180</v>
      </c>
      <c r="F53" s="18" t="s">
        <v>187</v>
      </c>
      <c r="G53" s="17" t="s">
        <v>22</v>
      </c>
      <c r="H53" s="17" t="s">
        <v>28</v>
      </c>
      <c r="I53" s="18" t="s">
        <v>188</v>
      </c>
      <c r="J53" s="20" t="s">
        <v>19</v>
      </c>
      <c r="K53" s="21">
        <v>0</v>
      </c>
      <c r="L53" s="22"/>
    </row>
    <row r="54" spans="1:12" ht="28" customHeight="1" x14ac:dyDescent="0.2">
      <c r="A54" s="17" t="s">
        <v>189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180</v>
      </c>
      <c r="F54" s="18" t="s">
        <v>190</v>
      </c>
      <c r="G54" s="17" t="s">
        <v>28</v>
      </c>
      <c r="H54" s="17" t="s">
        <v>34</v>
      </c>
      <c r="I54" s="18" t="s">
        <v>191</v>
      </c>
      <c r="J54" s="20" t="s">
        <v>19</v>
      </c>
      <c r="K54" s="21">
        <v>0</v>
      </c>
      <c r="L54" s="22"/>
    </row>
    <row r="55" spans="1:12" x14ac:dyDescent="0.2">
      <c r="A55" s="17" t="s">
        <v>192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180</v>
      </c>
      <c r="F55" s="18" t="s">
        <v>193</v>
      </c>
      <c r="G55" s="17" t="s">
        <v>22</v>
      </c>
      <c r="H55" s="17" t="s">
        <v>17</v>
      </c>
      <c r="I55" s="18" t="s">
        <v>194</v>
      </c>
      <c r="J55" s="20" t="s">
        <v>19</v>
      </c>
      <c r="K55" s="21">
        <v>0</v>
      </c>
      <c r="L55" s="22"/>
    </row>
    <row r="56" spans="1:12" ht="28" customHeight="1" x14ac:dyDescent="0.2">
      <c r="A56" s="17" t="s">
        <v>195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180</v>
      </c>
      <c r="F56" s="18" t="s">
        <v>196</v>
      </c>
      <c r="G56" s="17" t="s">
        <v>22</v>
      </c>
      <c r="H56" s="17" t="s">
        <v>17</v>
      </c>
      <c r="I56" s="18" t="s">
        <v>197</v>
      </c>
      <c r="J56" s="20" t="s">
        <v>19</v>
      </c>
      <c r="K56" s="21">
        <v>0</v>
      </c>
      <c r="L56" s="22"/>
    </row>
    <row r="57" spans="1:12" ht="28" customHeight="1" x14ac:dyDescent="0.2">
      <c r="A57" s="17" t="s">
        <v>198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180</v>
      </c>
      <c r="F57" s="18" t="s">
        <v>199</v>
      </c>
      <c r="G57" s="17" t="s">
        <v>17</v>
      </c>
      <c r="H57" s="17" t="s">
        <v>17</v>
      </c>
      <c r="I57" s="18" t="s">
        <v>200</v>
      </c>
      <c r="J57" s="20" t="s">
        <v>19</v>
      </c>
      <c r="K57" s="21">
        <v>0</v>
      </c>
      <c r="L57" s="22"/>
    </row>
    <row r="58" spans="1:12" ht="28" customHeight="1" x14ac:dyDescent="0.2">
      <c r="A58" s="17" t="s">
        <v>201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180</v>
      </c>
      <c r="F58" s="18" t="s">
        <v>202</v>
      </c>
      <c r="G58" s="17" t="s">
        <v>34</v>
      </c>
      <c r="H58" s="17" t="s">
        <v>17</v>
      </c>
      <c r="I58" s="18" t="s">
        <v>203</v>
      </c>
      <c r="J58" s="20" t="s">
        <v>19</v>
      </c>
      <c r="K58" s="21">
        <v>0</v>
      </c>
      <c r="L58" s="22"/>
    </row>
    <row r="59" spans="1:12" x14ac:dyDescent="0.2">
      <c r="A59" s="17" t="s">
        <v>204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180</v>
      </c>
      <c r="F59" s="18" t="s">
        <v>205</v>
      </c>
      <c r="G59" s="17" t="s">
        <v>17</v>
      </c>
      <c r="H59" s="17" t="s">
        <v>17</v>
      </c>
      <c r="I59" s="18" t="s">
        <v>206</v>
      </c>
      <c r="J59" s="20" t="s">
        <v>19</v>
      </c>
      <c r="K59" s="21">
        <v>0</v>
      </c>
      <c r="L59" s="22"/>
    </row>
  </sheetData>
  <autoFilter ref="A4:L59" xr:uid="{00000000-0009-0000-0000-000001000000}"/>
  <conditionalFormatting sqref="A5:E109">
    <cfRule type="expression" dxfId="5" priority="6" stopIfTrue="1">
      <formula>$J5="Hoàn thành"</formula>
    </cfRule>
  </conditionalFormatting>
  <conditionalFormatting sqref="F5:F109">
    <cfRule type="expression" dxfId="4" priority="5" stopIfTrue="1">
      <formula>$J5="Hoàn thành"</formula>
    </cfRule>
  </conditionalFormatting>
  <conditionalFormatting sqref="G5:I109">
    <cfRule type="expression" dxfId="3" priority="7" stopIfTrue="1">
      <formula>$J5="Hoàn thành"</formula>
    </cfRule>
  </conditionalFormatting>
  <conditionalFormatting sqref="J5:J109">
    <cfRule type="cellIs" dxfId="2" priority="1" operator="equal">
      <formula>"Hoàn thành"</formula>
    </cfRule>
    <cfRule type="cellIs" dxfId="1" priority="2" operator="equal">
      <formula>"Đang làm"</formula>
    </cfRule>
    <cfRule type="cellIs" dxfId="0" priority="3" operator="equal">
      <formula>"Trễ hạn"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customHeight="1" x14ac:dyDescent="0.2">
      <c r="A1" s="1" t="s">
        <v>279</v>
      </c>
    </row>
    <row r="2" spans="1:4" x14ac:dyDescent="0.2">
      <c r="A2" s="2" t="s">
        <v>280</v>
      </c>
    </row>
    <row r="4" spans="1:4" x14ac:dyDescent="0.2">
      <c r="A4" s="6" t="s">
        <v>281</v>
      </c>
      <c r="B4" s="6" t="s">
        <v>282</v>
      </c>
      <c r="C4" s="6" t="s">
        <v>283</v>
      </c>
      <c r="D4" s="6" t="s">
        <v>284</v>
      </c>
    </row>
    <row r="5" spans="1:4" ht="55" customHeight="1" x14ac:dyDescent="0.2">
      <c r="A5" s="27" t="s">
        <v>285</v>
      </c>
      <c r="B5" s="8" t="s">
        <v>286</v>
      </c>
      <c r="C5" s="8" t="s">
        <v>287</v>
      </c>
      <c r="D5" s="8" t="s">
        <v>288</v>
      </c>
    </row>
    <row r="6" spans="1:4" ht="30" customHeight="1" x14ac:dyDescent="0.2">
      <c r="A6" s="27" t="s">
        <v>289</v>
      </c>
      <c r="B6" s="8" t="s">
        <v>290</v>
      </c>
      <c r="C6" s="8" t="s">
        <v>291</v>
      </c>
      <c r="D6" s="8" t="s">
        <v>292</v>
      </c>
    </row>
    <row r="7" spans="1:4" ht="70" customHeight="1" x14ac:dyDescent="0.2">
      <c r="A7" s="27" t="s">
        <v>293</v>
      </c>
      <c r="B7" s="8" t="s">
        <v>294</v>
      </c>
      <c r="C7" s="8" t="s">
        <v>295</v>
      </c>
      <c r="D7" s="8" t="s">
        <v>296</v>
      </c>
    </row>
    <row r="8" spans="1:4" ht="40" customHeight="1" x14ac:dyDescent="0.2">
      <c r="A8" s="27" t="s">
        <v>297</v>
      </c>
      <c r="B8" s="8" t="s">
        <v>298</v>
      </c>
      <c r="C8" s="8" t="s">
        <v>299</v>
      </c>
      <c r="D8" s="8" t="s">
        <v>300</v>
      </c>
    </row>
    <row r="9" spans="1:4" ht="30" customHeight="1" x14ac:dyDescent="0.2">
      <c r="A9" s="27" t="s">
        <v>301</v>
      </c>
      <c r="B9" s="8" t="s">
        <v>302</v>
      </c>
      <c r="C9" s="8" t="s">
        <v>303</v>
      </c>
      <c r="D9" s="8" t="s">
        <v>304</v>
      </c>
    </row>
    <row r="10" spans="1:4" ht="70" customHeight="1" x14ac:dyDescent="0.2">
      <c r="A10" s="27" t="s">
        <v>305</v>
      </c>
      <c r="B10" s="8" t="s">
        <v>306</v>
      </c>
      <c r="C10" s="8" t="s">
        <v>307</v>
      </c>
      <c r="D10" s="8" t="s">
        <v>308</v>
      </c>
    </row>
    <row r="11" spans="1:4" ht="30" customHeight="1" x14ac:dyDescent="0.2">
      <c r="A11" s="27" t="s">
        <v>309</v>
      </c>
      <c r="B11" s="8" t="s">
        <v>310</v>
      </c>
      <c r="C11" s="8" t="s">
        <v>311</v>
      </c>
      <c r="D11" s="8" t="s">
        <v>312</v>
      </c>
    </row>
    <row r="12" spans="1:4" ht="30" customHeight="1" x14ac:dyDescent="0.2">
      <c r="A12" s="27" t="s">
        <v>313</v>
      </c>
      <c r="B12" s="8" t="s">
        <v>314</v>
      </c>
      <c r="C12" s="8" t="s">
        <v>315</v>
      </c>
      <c r="D12" s="8" t="s">
        <v>316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customHeight="1" x14ac:dyDescent="0.2">
      <c r="A1" s="1" t="s">
        <v>317</v>
      </c>
    </row>
    <row r="2" spans="1:7" x14ac:dyDescent="0.2">
      <c r="A2" s="2" t="s">
        <v>318</v>
      </c>
    </row>
    <row r="4" spans="1:7" x14ac:dyDescent="0.2">
      <c r="A4" s="6" t="s">
        <v>319</v>
      </c>
      <c r="B4" s="6" t="s">
        <v>320</v>
      </c>
      <c r="C4" s="6" t="s">
        <v>321</v>
      </c>
      <c r="D4" s="6" t="s">
        <v>322</v>
      </c>
      <c r="E4" s="6" t="s">
        <v>323</v>
      </c>
      <c r="F4" s="6" t="s">
        <v>324</v>
      </c>
      <c r="G4" s="6" t="s">
        <v>11</v>
      </c>
    </row>
    <row r="5" spans="1:7" ht="28" customHeight="1" x14ac:dyDescent="0.2">
      <c r="A5" s="7" t="s">
        <v>325</v>
      </c>
      <c r="B5" s="8" t="s">
        <v>326</v>
      </c>
      <c r="C5" s="7" t="s">
        <v>22</v>
      </c>
      <c r="D5" s="8" t="s">
        <v>327</v>
      </c>
      <c r="E5" s="7" t="s">
        <v>328</v>
      </c>
      <c r="F5" s="7">
        <v>12</v>
      </c>
      <c r="G5" s="20" t="s">
        <v>30</v>
      </c>
    </row>
    <row r="6" spans="1:7" x14ac:dyDescent="0.2">
      <c r="A6" s="7" t="s">
        <v>329</v>
      </c>
      <c r="B6" s="8" t="s">
        <v>330</v>
      </c>
      <c r="C6" s="7" t="s">
        <v>22</v>
      </c>
      <c r="D6" s="8" t="s">
        <v>325</v>
      </c>
      <c r="E6" s="7" t="s">
        <v>242</v>
      </c>
      <c r="F6" s="7">
        <v>2</v>
      </c>
      <c r="G6" s="20" t="s">
        <v>30</v>
      </c>
    </row>
    <row r="7" spans="1:7" x14ac:dyDescent="0.2">
      <c r="A7" s="7" t="s">
        <v>331</v>
      </c>
      <c r="B7" s="8" t="s">
        <v>332</v>
      </c>
      <c r="C7" s="7" t="s">
        <v>22</v>
      </c>
      <c r="D7" s="8" t="s">
        <v>34</v>
      </c>
      <c r="E7" s="7" t="s">
        <v>242</v>
      </c>
      <c r="F7" s="7">
        <v>2</v>
      </c>
      <c r="G7" s="20" t="s">
        <v>30</v>
      </c>
    </row>
    <row r="8" spans="1:7" x14ac:dyDescent="0.2">
      <c r="A8" s="7" t="s">
        <v>333</v>
      </c>
      <c r="B8" s="8" t="s">
        <v>334</v>
      </c>
      <c r="C8" s="7" t="s">
        <v>22</v>
      </c>
      <c r="D8" s="8" t="s">
        <v>335</v>
      </c>
      <c r="E8" s="7" t="s">
        <v>242</v>
      </c>
      <c r="F8" s="7">
        <v>2</v>
      </c>
      <c r="G8" s="20" t="s">
        <v>30</v>
      </c>
    </row>
    <row r="9" spans="1:7" x14ac:dyDescent="0.2">
      <c r="A9" s="7" t="s">
        <v>336</v>
      </c>
      <c r="B9" s="8" t="s">
        <v>337</v>
      </c>
      <c r="C9" s="7" t="s">
        <v>34</v>
      </c>
      <c r="D9" s="8" t="s">
        <v>325</v>
      </c>
      <c r="E9" s="7" t="s">
        <v>247</v>
      </c>
      <c r="F9" s="7">
        <v>4</v>
      </c>
      <c r="G9" s="20" t="s">
        <v>30</v>
      </c>
    </row>
    <row r="10" spans="1:7" x14ac:dyDescent="0.2">
      <c r="A10" s="7" t="s">
        <v>338</v>
      </c>
      <c r="B10" s="8" t="s">
        <v>339</v>
      </c>
      <c r="C10" s="7" t="s">
        <v>34</v>
      </c>
      <c r="D10" s="8" t="s">
        <v>340</v>
      </c>
      <c r="E10" s="7" t="s">
        <v>247</v>
      </c>
      <c r="F10" s="7">
        <v>4</v>
      </c>
      <c r="G10" s="20" t="s">
        <v>30</v>
      </c>
    </row>
    <row r="11" spans="1:7" x14ac:dyDescent="0.2">
      <c r="A11" s="7" t="s">
        <v>341</v>
      </c>
      <c r="B11" s="8" t="s">
        <v>342</v>
      </c>
      <c r="C11" s="7" t="s">
        <v>34</v>
      </c>
      <c r="D11" s="8" t="s">
        <v>340</v>
      </c>
      <c r="E11" s="7" t="s">
        <v>252</v>
      </c>
      <c r="F11" s="7">
        <v>8</v>
      </c>
      <c r="G11" s="20" t="s">
        <v>24</v>
      </c>
    </row>
    <row r="12" spans="1:7" x14ac:dyDescent="0.2">
      <c r="A12" s="7" t="s">
        <v>343</v>
      </c>
      <c r="B12" s="8" t="s">
        <v>344</v>
      </c>
      <c r="C12" s="7" t="s">
        <v>28</v>
      </c>
      <c r="D12" s="8" t="s">
        <v>340</v>
      </c>
      <c r="E12" s="7" t="s">
        <v>252</v>
      </c>
      <c r="F12" s="7">
        <v>8</v>
      </c>
      <c r="G12" s="20" t="s">
        <v>24</v>
      </c>
    </row>
    <row r="13" spans="1:7" x14ac:dyDescent="0.2">
      <c r="A13" s="7" t="s">
        <v>345</v>
      </c>
      <c r="B13" s="8" t="s">
        <v>346</v>
      </c>
      <c r="C13" s="7" t="s">
        <v>34</v>
      </c>
      <c r="D13" s="8" t="s">
        <v>347</v>
      </c>
      <c r="E13" s="7" t="s">
        <v>252</v>
      </c>
      <c r="F13" s="7">
        <v>8</v>
      </c>
      <c r="G13" s="20" t="s">
        <v>19</v>
      </c>
    </row>
    <row r="14" spans="1:7" x14ac:dyDescent="0.2">
      <c r="A14" s="7" t="s">
        <v>348</v>
      </c>
      <c r="B14" s="8" t="s">
        <v>349</v>
      </c>
      <c r="C14" s="7" t="s">
        <v>34</v>
      </c>
      <c r="D14" s="8" t="s">
        <v>340</v>
      </c>
      <c r="E14" s="7" t="s">
        <v>257</v>
      </c>
      <c r="F14" s="7">
        <v>10</v>
      </c>
      <c r="G14" s="20" t="s">
        <v>19</v>
      </c>
    </row>
    <row r="15" spans="1:7" x14ac:dyDescent="0.2">
      <c r="A15" s="7" t="s">
        <v>350</v>
      </c>
      <c r="B15" s="8" t="s">
        <v>351</v>
      </c>
      <c r="C15" s="7" t="s">
        <v>28</v>
      </c>
      <c r="D15" s="8" t="s">
        <v>352</v>
      </c>
      <c r="E15" s="7" t="s">
        <v>257</v>
      </c>
      <c r="F15" s="7">
        <v>10</v>
      </c>
      <c r="G15" s="20" t="s">
        <v>19</v>
      </c>
    </row>
    <row r="16" spans="1:7" x14ac:dyDescent="0.2">
      <c r="A16" s="7" t="s">
        <v>353</v>
      </c>
      <c r="B16" s="8" t="s">
        <v>354</v>
      </c>
      <c r="C16" s="7" t="s">
        <v>28</v>
      </c>
      <c r="D16" s="8" t="s">
        <v>355</v>
      </c>
      <c r="E16" s="7" t="s">
        <v>257</v>
      </c>
      <c r="F16" s="7">
        <v>10</v>
      </c>
      <c r="G16" s="20" t="s">
        <v>19</v>
      </c>
    </row>
    <row r="17" spans="1:7" x14ac:dyDescent="0.2">
      <c r="A17" s="7" t="s">
        <v>356</v>
      </c>
      <c r="B17" s="8" t="s">
        <v>357</v>
      </c>
      <c r="C17" s="7" t="s">
        <v>28</v>
      </c>
      <c r="D17" s="8" t="s">
        <v>22</v>
      </c>
      <c r="E17" s="7" t="s">
        <v>257</v>
      </c>
      <c r="F17" s="7">
        <v>10</v>
      </c>
      <c r="G17" s="20" t="s">
        <v>19</v>
      </c>
    </row>
    <row r="18" spans="1:7" x14ac:dyDescent="0.2">
      <c r="A18" s="7" t="s">
        <v>358</v>
      </c>
      <c r="B18" s="8" t="s">
        <v>359</v>
      </c>
      <c r="C18" s="7" t="s">
        <v>22</v>
      </c>
      <c r="D18" s="8" t="s">
        <v>360</v>
      </c>
      <c r="E18" s="7" t="s">
        <v>361</v>
      </c>
      <c r="F18" s="7">
        <v>12</v>
      </c>
      <c r="G18" s="20" t="s">
        <v>19</v>
      </c>
    </row>
    <row r="19" spans="1:7" x14ac:dyDescent="0.2">
      <c r="A19" s="7" t="s">
        <v>362</v>
      </c>
      <c r="B19" s="8" t="s">
        <v>363</v>
      </c>
      <c r="C19" s="7" t="s">
        <v>22</v>
      </c>
      <c r="D19" s="8" t="s">
        <v>364</v>
      </c>
      <c r="E19" s="7" t="s">
        <v>325</v>
      </c>
      <c r="F19" s="7">
        <v>11</v>
      </c>
      <c r="G19" s="20" t="s">
        <v>19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customHeight="1" x14ac:dyDescent="0.2">
      <c r="A1" s="1" t="s">
        <v>365</v>
      </c>
    </row>
    <row r="2" spans="1:7" x14ac:dyDescent="0.2">
      <c r="A2" s="2" t="s">
        <v>366</v>
      </c>
    </row>
    <row r="4" spans="1:7" x14ac:dyDescent="0.2">
      <c r="A4" s="6" t="s">
        <v>3</v>
      </c>
      <c r="B4" s="6" t="s">
        <v>367</v>
      </c>
      <c r="C4" s="6" t="s">
        <v>211</v>
      </c>
      <c r="D4" s="6" t="s">
        <v>368</v>
      </c>
      <c r="E4" s="6" t="s">
        <v>369</v>
      </c>
      <c r="F4" s="6" t="s">
        <v>370</v>
      </c>
      <c r="G4" s="6" t="s">
        <v>371</v>
      </c>
    </row>
    <row r="5" spans="1:7" ht="28" customHeight="1" x14ac:dyDescent="0.2">
      <c r="A5" s="28">
        <v>1</v>
      </c>
      <c r="B5" s="29"/>
      <c r="C5" s="28" t="s">
        <v>34</v>
      </c>
      <c r="D5" s="30" t="s">
        <v>372</v>
      </c>
      <c r="E5" s="30" t="s">
        <v>373</v>
      </c>
      <c r="F5" s="30" t="s">
        <v>374</v>
      </c>
      <c r="G5" s="30" t="s">
        <v>375</v>
      </c>
    </row>
    <row r="6" spans="1:7" ht="98" customHeight="1" x14ac:dyDescent="0.2">
      <c r="A6" s="20">
        <v>1</v>
      </c>
      <c r="B6" s="31">
        <v>46303</v>
      </c>
      <c r="C6" s="20" t="s">
        <v>22</v>
      </c>
      <c r="D6" s="22" t="s">
        <v>376</v>
      </c>
      <c r="E6" s="22" t="s">
        <v>377</v>
      </c>
      <c r="F6" s="22" t="s">
        <v>378</v>
      </c>
      <c r="G6" s="22" t="s">
        <v>379</v>
      </c>
    </row>
    <row r="7" spans="1:7" ht="98" customHeight="1" x14ac:dyDescent="0.2">
      <c r="A7" s="20">
        <v>2</v>
      </c>
      <c r="B7" s="31">
        <v>46309</v>
      </c>
      <c r="C7" s="20" t="s">
        <v>22</v>
      </c>
      <c r="D7" s="22" t="s">
        <v>380</v>
      </c>
      <c r="E7" s="22" t="s">
        <v>381</v>
      </c>
      <c r="F7" s="22" t="s">
        <v>382</v>
      </c>
      <c r="G7" s="22" t="s">
        <v>383</v>
      </c>
    </row>
    <row r="8" spans="1:7" ht="210" x14ac:dyDescent="0.2">
      <c r="A8" s="20">
        <v>3</v>
      </c>
      <c r="B8" s="31">
        <v>46314</v>
      </c>
      <c r="C8" s="20" t="s">
        <v>22</v>
      </c>
      <c r="D8" s="22" t="s">
        <v>384</v>
      </c>
      <c r="E8" s="22" t="s">
        <v>385</v>
      </c>
      <c r="F8" s="22" t="s">
        <v>386</v>
      </c>
      <c r="G8" s="22" t="s">
        <v>387</v>
      </c>
    </row>
    <row r="9" spans="1:7" ht="154" x14ac:dyDescent="0.2">
      <c r="A9" s="20">
        <v>4</v>
      </c>
      <c r="B9" s="31">
        <v>46322</v>
      </c>
      <c r="C9" s="20" t="s">
        <v>22</v>
      </c>
      <c r="D9" s="22" t="s">
        <v>402</v>
      </c>
      <c r="E9" s="22" t="s">
        <v>403</v>
      </c>
      <c r="F9" s="22" t="s">
        <v>404</v>
      </c>
      <c r="G9" s="22" t="s">
        <v>405</v>
      </c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customHeight="1" x14ac:dyDescent="0.2">
      <c r="A1" s="1" t="s">
        <v>388</v>
      </c>
    </row>
    <row r="2" spans="1:8" x14ac:dyDescent="0.2">
      <c r="A2" s="2" t="s">
        <v>389</v>
      </c>
    </row>
    <row r="4" spans="1:8" ht="28" customHeight="1" x14ac:dyDescent="0.2">
      <c r="A4" s="6" t="s">
        <v>211</v>
      </c>
      <c r="B4" s="6" t="s">
        <v>390</v>
      </c>
      <c r="C4" s="6" t="s">
        <v>30</v>
      </c>
      <c r="D4" s="6" t="s">
        <v>24</v>
      </c>
      <c r="E4" s="6" t="s">
        <v>391</v>
      </c>
      <c r="F4" s="6" t="s">
        <v>392</v>
      </c>
      <c r="G4" s="6" t="s">
        <v>393</v>
      </c>
      <c r="H4" s="6" t="s">
        <v>394</v>
      </c>
    </row>
    <row r="5" spans="1:8" x14ac:dyDescent="0.2">
      <c r="A5" s="33" t="s">
        <v>22</v>
      </c>
      <c r="B5" s="7">
        <f>COUNTIF('Kế hoạch'!$G$5:$G$109,A5)</f>
        <v>19</v>
      </c>
      <c r="C5" s="7">
        <f>COUNTIFS('Kế hoạch'!$G$5:$G$109,A5,'Kế hoạch'!$J$5:$J$109,"Hoàn thành")</f>
        <v>8</v>
      </c>
      <c r="D5" s="7">
        <f>COUNTIFS('Kế hoạch'!$G$5:$G$109,A5,'Kế hoạch'!$J$5:$J$109,"Đang làm")</f>
        <v>2</v>
      </c>
      <c r="E5" s="7">
        <f>COUNTIFS('Kế hoạch'!$G$5:$G$109,A5,'Kế hoạch'!$J$5:$J$109,"Trễ hạn")</f>
        <v>0</v>
      </c>
      <c r="F5" s="34">
        <f>IFERROR(C5/B5,0)</f>
        <v>0.42105263157894735</v>
      </c>
      <c r="G5" s="34">
        <f>IFERROR(AVERAGEIF('Kế hoạch'!$G$5:$G$109,A5,'Kế hoạch'!$K$5:$K$109),0)</f>
        <v>0.51052631578947361</v>
      </c>
      <c r="H5" s="7">
        <f>COUNTIF('Kế hoạch'!$H$5:$H$109,A5)</f>
        <v>10</v>
      </c>
    </row>
    <row r="6" spans="1:8" x14ac:dyDescent="0.2">
      <c r="A6" s="33" t="s">
        <v>34</v>
      </c>
      <c r="B6" s="7">
        <f>COUNTIF('Kế hoạch'!$G$5:$G$109,A6)</f>
        <v>16</v>
      </c>
      <c r="C6" s="7">
        <f>COUNTIFS('Kế hoạch'!$G$5:$G$109,A6,'Kế hoạch'!$J$5:$J$109,"Hoàn thành")</f>
        <v>5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0.3125</v>
      </c>
      <c r="G6" s="34">
        <f>IFERROR(AVERAGEIF('Kế hoạch'!$G$5:$G$109,A6,'Kế hoạch'!$K$5:$K$109),0)</f>
        <v>0.3125</v>
      </c>
      <c r="H6" s="7">
        <f>COUNTIF('Kế hoạch'!$H$5:$H$109,A6)</f>
        <v>14</v>
      </c>
    </row>
    <row r="7" spans="1:8" x14ac:dyDescent="0.2">
      <c r="A7" s="33" t="s">
        <v>28</v>
      </c>
      <c r="B7" s="7">
        <f>COUNTIF('Kế hoạch'!$G$5:$G$109,A7)</f>
        <v>17</v>
      </c>
      <c r="C7" s="7">
        <f>COUNTIFS('Kế hoạch'!$G$5:$G$109,A7,'Kế hoạch'!$J$5:$J$109,"Hoàn thành")</f>
        <v>4</v>
      </c>
      <c r="D7" s="7">
        <f>COUNTIFS('Kế hoạch'!$G$5:$G$109,A7,'Kế hoạch'!$J$5:$J$109,"Đang làm")</f>
        <v>0</v>
      </c>
      <c r="E7" s="7">
        <f>COUNTIFS('Kế hoạch'!$G$5:$G$109,A7,'Kế hoạch'!$J$5:$J$109,"Trễ hạn")</f>
        <v>0</v>
      </c>
      <c r="F7" s="34">
        <f>IFERROR(C7/B7,0)</f>
        <v>0.23529411764705882</v>
      </c>
      <c r="G7" s="34">
        <f>IFERROR(AVERAGEIF('Kế hoạch'!$G$5:$G$109,A7,'Kế hoạch'!$K$5:$K$109),0)</f>
        <v>0.23529411764705882</v>
      </c>
      <c r="H7" s="7">
        <f>COUNTIF('Kế hoạch'!$H$5:$H$109,A7)</f>
        <v>13</v>
      </c>
    </row>
    <row r="8" spans="1:8" x14ac:dyDescent="0.2">
      <c r="A8" s="33" t="s">
        <v>17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395</v>
      </c>
      <c r="B9" s="35">
        <f>SUM(B5:B8)</f>
        <v>55</v>
      </c>
      <c r="C9" s="35">
        <f>SUM(C5:C8)</f>
        <v>17</v>
      </c>
      <c r="D9" s="35">
        <f>SUM(D5:D8)</f>
        <v>2</v>
      </c>
      <c r="E9" s="35">
        <f>SUM(E5:E8)</f>
        <v>0</v>
      </c>
      <c r="F9" s="36">
        <f>IFERROR(C9/B9,0)</f>
        <v>0.30909090909090908</v>
      </c>
      <c r="G9" s="36">
        <f>IFERROR(AVERAGE('Kế hoạch'!$K$5:$K$109),0)</f>
        <v>0.34</v>
      </c>
      <c r="H9" s="35">
        <f>SUM(H5:H8)</f>
        <v>55</v>
      </c>
    </row>
    <row r="12" spans="1:8" ht="16" customHeight="1" x14ac:dyDescent="0.2">
      <c r="A12" s="5" t="s">
        <v>396</v>
      </c>
    </row>
    <row r="13" spans="1:8" ht="28" customHeight="1" x14ac:dyDescent="0.2">
      <c r="A13" s="6" t="s">
        <v>6</v>
      </c>
      <c r="B13" s="6" t="s">
        <v>397</v>
      </c>
      <c r="C13" s="6" t="s">
        <v>30</v>
      </c>
      <c r="D13" s="6" t="s">
        <v>12</v>
      </c>
    </row>
    <row r="14" spans="1:8" x14ac:dyDescent="0.2">
      <c r="A14" s="9" t="s">
        <v>15</v>
      </c>
      <c r="B14" s="9">
        <f>COUNTIF('Kế hoạch'!$E$5:$E$109,A14)</f>
        <v>10</v>
      </c>
      <c r="C14" s="9">
        <f>COUNTIFS('Kế hoạch'!$E$5:$E$109,A14,'Kế hoạch'!$J$5:$J$109,"Hoàn thành")</f>
        <v>8</v>
      </c>
      <c r="D14" s="37">
        <f>IFERROR(C14/B14,0)</f>
        <v>0.8</v>
      </c>
    </row>
    <row r="15" spans="1:8" x14ac:dyDescent="0.2">
      <c r="A15" s="11" t="s">
        <v>62</v>
      </c>
      <c r="B15" s="11">
        <f>COUNTIF('Kế hoạch'!$E$5:$E$109,A15)</f>
        <v>7</v>
      </c>
      <c r="C15" s="11">
        <f>COUNTIFS('Kế hoạch'!$E$5:$E$109,A15,'Kế hoạch'!$J$5:$J$109,"Hoàn thành")</f>
        <v>6</v>
      </c>
      <c r="D15" s="38">
        <f>IFERROR(C15/B15,0)</f>
        <v>0.8571428571428571</v>
      </c>
    </row>
    <row r="16" spans="1:8" x14ac:dyDescent="0.2">
      <c r="A16" s="13" t="s">
        <v>91</v>
      </c>
      <c r="B16" s="13">
        <f>COUNTIF('Kế hoạch'!$E$5:$E$109,A16)</f>
        <v>14</v>
      </c>
      <c r="C16" s="13">
        <f>COUNTIFS('Kế hoạch'!$E$5:$E$109,A16,'Kế hoạch'!$J$5:$J$109,"Hoàn thành")</f>
        <v>3</v>
      </c>
      <c r="D16" s="39">
        <f>IFERROR(C16/B16,0)</f>
        <v>0.21428571428571427</v>
      </c>
    </row>
    <row r="17" spans="1:4" x14ac:dyDescent="0.2">
      <c r="A17" s="15" t="s">
        <v>134</v>
      </c>
      <c r="B17" s="15">
        <f>COUNTIF('Kế hoạch'!$E$5:$E$109,A17)</f>
        <v>15</v>
      </c>
      <c r="C17" s="15">
        <f>COUNTIFS('Kế hoạch'!$E$5:$E$109,A17,'Kế hoạch'!$J$5:$J$109,"Hoàn thành")</f>
        <v>0</v>
      </c>
      <c r="D17" s="40">
        <f>IFERROR(C17/B17,0)</f>
        <v>0</v>
      </c>
    </row>
    <row r="18" spans="1:4" x14ac:dyDescent="0.2">
      <c r="A18" s="17" t="s">
        <v>180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398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2026-10-27T12:17:26Z</dcterms:modified>
</cp:coreProperties>
</file>