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9C6B8CB6-03CC-AA4F-BD28-6C2E99BCAAB9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<sst xmlns="http://schemas.openxmlformats.org/spreadsheetml/2006/main" count="702" uniqueCount="410">
  <si>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</si>
  <si>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</si>
  <si>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</si>
  <si>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</si>
  <si>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</si>
  <si>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</si>
  <si>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</si>
  <si>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</si>
  <si>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</si>
  <si>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</si>
  <si>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</si>
  <si>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</si>
  <si>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</si>
  <si>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</si>
  <si>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</si>
  <si>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</si>
  <si>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</si>
  <si>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</si>
  <si>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</si>
  <si>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</si>
  <si>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</si>
  <si>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</si>
  <si>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</si>
  <si>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</si>
  <si>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</si>
  <si>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</si>
  <si>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</si>
  <si>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</si>
  <si>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</si>
  <si>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</si>
  <si>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</si>
  <si>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</si>
  <si>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</si>
  <si>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</si>
  <si>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</si>
  <si>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</si>
  <si>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</si>
  <si>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</si>
  <si>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</si>
  <si>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</si>
  <si>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</si>
  <si>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</si>
  <si>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</si>
  <si>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</si>
  <si>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</si>
  <si>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</si>
  <si>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</si>
  <si>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</si>
  <si>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</si>
  <si>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</si>
  <si>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</si>
  <si>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</si>
  <si>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</si>
  <si>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</si>
  <si>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</si>
  <si>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</si>
  <si>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</si>
  <si>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</si>
  <si>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</si>
  <si>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</si>
  <si>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</si>
  <si>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</si>
  <si>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</si>
  <si>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</si>
  <si>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</si>
  <si>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</si>
  <si>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</si>
  <si>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</si>
  <si>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</si>
  <si>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</si>
  <si>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</si>
  <si>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</si>
  <si>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</si>
  <si>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</si>
  <si>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</si>
  <si>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</si>
  <si>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</si>
  <si>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</si>
  <si>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</si>
  <si>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</si>
  <si>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</si>
  <si>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</si>
  <si>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</si>
  <si>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</si>
  <si>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</si>
  <si>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</si>
  <si>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</si>
  <si>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</si>
  <si>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</si>
  <si>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</si>
  <si>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</si>
  <si>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</si>
  <si>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</si>
  <si>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</si>
  <si>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</si>
  <si>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</si>
  <si>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</si>
  <si>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</si>
  <si>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</si>
  <si>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</si>
  <si>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</si>
  <si>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</si>
  <si>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</si>
  <si>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</si>
  <si>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</si>
  <si>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</si>
  <si>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</si>
  <si>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</si>
  <si>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</si>
  <si>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</si>
  <si>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</si>
  <si>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</si>
  <si>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</si>
  <si>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</si>
  <si>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</si>
  <si>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</si>
  <si>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</si>
  <si>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</si>
  <si>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</si>
  <si>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</si>
  <si>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</si>
  <si>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</si>
  <si>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</si>
  <si>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</si>
  <si>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</si>
  <si>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</si>
  <si>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</si>
  <si>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</si>
  <si>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</si>
  <si>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</si>
  <si>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</si>
  <si>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</si>
  <si>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</si>
  <si>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</si>
  <si>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</si>
  <si>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</si>
  <si>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</si>
  <si>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</si>
  <si>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</si>
  <si>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</si>
  <si>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</si>
  <si>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</si>
  <si>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</si>
  <si>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</si>
  <si>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</si>
  <si>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</si>
  <si>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</si>
  <si>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</si>
  <si>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</si>
  <si>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</si>
  <si>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</si>
  <si>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</si>
  <si>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</si>
  <si>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</si>
  <si>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</si>
  <si>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</si>
  <si>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</si>
  <si>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</si>
  <si>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</si>
  <si>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</si>
  <si>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</si>
  <si>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</si>
  <si>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</si>
  <si>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</si>
  <si>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</si>
  <si>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</si>
  <si>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</si>
  <si>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</si>
  <si>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</si>
  <si>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</si>
  <si>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</si>
  <si>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</si>
  <si>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</si>
  <si>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</si>
  <si>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</si>
  <si>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</si>
  <si>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</si>
  <si>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</si>
  <si>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</si>
  <si>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</si>
  <si>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</si>
  <si>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</si>
  <si>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</si>
  <si>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</si>
  <si>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</si>
  <si>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</si>
  <si>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</si>
  <si>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</si>
  <si>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</si>
  <si>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</si>
  <si>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</si>
  <si>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</si>
  <si>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</si>
  <si>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</si>
  <si>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</si>
  <si>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</si>
  <si>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</si>
  <si>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</si>
  <si>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</si>
  <si>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</si>
  <si>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</si>
  <si>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</si>
  <si>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</si>
  <si>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</si>
  <si>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</si>
  <si>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</si>
  <si>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</si>
  <si>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</si>
  <si>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</si>
  <si>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</si>
  <si>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</si>
  <si>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</si>
  <si>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</si>
  <si>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</si>
  <si>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</si>
  <si>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</si>
  <si>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</si>
  <si>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</si>
  <si>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</si>
  <si>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</si>
  <si>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</si>
  <si>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</si>
  <si>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</si>
  <si>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</si>
  <si>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</si>
  <si>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</si>
  <si>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</si>
  <si>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</si>
  <si>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</si>
  <si>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</si>
  <si>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</si>
  <si>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</si>
  <si>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</si>
  <si>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</si>
  <si>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</si>
  <si>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</si>
  <si>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</si>
  <si>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</si>
  <si>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</si>
  <si>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</si>
  <si>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</si>
  <si>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</si>
  <si>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</si>
  <si>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</si>
  <si>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</si>
  <si>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</si>
  <si>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</si>
  <si>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</si>
  <si>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</si>
  <si>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</si>
  <si>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</si>
  <si>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</si>
  <si>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</si>
  <si>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</si>
  <si>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</si>
  <si>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</si>
  <si>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</si>
  <si>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</si>
  <si>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</si>
  <si>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</si>
  <si>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</si>
  <si>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</si>
  <si>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</si>
  <si>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</si>
  <si>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</si>
  <si>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</si>
  <si>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</si>
  <si>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</si>
  <si>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</si>
  <si>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</si>
  <si>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</si>
  <si>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</si>
  <si>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</si>
  <si>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</si>
  <si>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</si>
  <si>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</si>
  <si>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</si>
  <si>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</si>
  <si>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</si>
  <si>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</si>
  <si>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</si>
  <si>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</si>
  <si>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</si>
  <si>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</si>
  <si>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</si>
  <si>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</si>
  <si>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</si>
  <si>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</si>
  <si>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</si>
  <si>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</si>
  <si>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</si>
  <si>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</si>
  <si>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</si>
  <si>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</si>
  <si>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</si>
  <si>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</si>
  <si>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</si>
  <si>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</si>
  <si>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</si>
  <si>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</si>
  <si>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</si>
  <si>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</si>
  <si>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</si>
  <si>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</si>
  <si>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</si>
  <si>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</si>
  <si>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</si>
  <si>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</si>
  <si>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</si>
  <si>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</si>
  <si>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</si>
  <si>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</si>
  <si>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</si>
  <si>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</si>
  <si>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</si>
  <si>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</si>
  <si>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</si>
  <si>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</si>
  <si>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</si>
  <si>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</si>
  <si>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</si>
  <si>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</si>
  <si>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</si>
  <si>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</si>
  <si>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</si>
  <si>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</si>
  <si>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</si>
  <si>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</si>
  <si>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</si>
  <si>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</si>
  <si>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</si>
  <si>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</si>
  <si>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</si>
  <si>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</si>
  <si>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</si>
  <si>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</si>
  <si>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</si>
  <si>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</si>
  <si>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</si>
  <si>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</si>
  <si>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</si>
  <si>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</si>
  <si>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</si>
  <si>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</si>
  <si>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</si>
  <si>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</si>
  <si>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</si>
  <si>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</si>
  <si>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</si>
  <si>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</si>
  <si>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</si>
  <si>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</si>
  <si>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</si>
  <si>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</si>
  <si>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</si>
  <si>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</si>
  <si>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</si>
  <si>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</si>
  <si>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</si>
  <si>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</si>
  <si>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</si>
  <si>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</si>
  <si>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</si>
  <si>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</si>
  <si>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</si>
  <si>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</si>
  <si>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</si>
  <si>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</si>
  <si>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</si>
  <si>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</si>
  <si>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</si>
  <si>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</si>
  <si>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</si>
  <si>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</si>
  <si>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</si>
  <si>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</si>
  <si>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</si>
  <si>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</si>
  <si>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</si>
  <si>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</si>
  <si>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</si>
  <si>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</si>
  <si>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</si>
  <si>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</si>
  <si>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</si>
  <si>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</si>
  <si>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</si>
  <si>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</si>
  <si>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</si>
  <si>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</si>
  <si>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</si>
  <si>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</si>
  <si>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</si>
  <si>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</si>
  <si>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</si>
  <si>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</si>
  <si>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</si>
  <si>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</si>
  <si>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</si>
  <si>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</si>
  <si>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</si>
  <si>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</si>
  <si>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T21: review ánh xạ mảng C. T29: điền từ điển dữ liệu bảng mảng B</t>
  </si>
  <si>
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</si>
  <si>
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</si>
  <si>
    <t>docs/6_chuan-hoa/T30_ReviewCheo.md – đã rà phần B (Khôi, 27/10): L01 sửa T20 (FK kép giấy – bệnh nhân); L02–L04 diễn giải trigger đã xác nhận, ghi vào T08 mục 5; ERD B không phải sửa; chờ A, C (T19, T21, T26, T28), mục 3 (T29); C1 vai_tro/loai_nv chờ nhóm họp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</si>
  <si>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</t>
  </si>
  <si>
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</si>
  <si>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</t>
  </si>
  <si>
    <t>docs/5_anh-xa/T20_AnhXa_MangB.md
commit 78857c7, nhánh Khoi
docs/6_chuan-hoa/T24_FD_MangB.md
docs/6_chuan-hoa/T27_ChuanHoa_MangB.md
sql/B_schema.sql
sql/B_trigger_view.sql
docs/6_chuan-hoa/T30_ReviewCheo.md
sql/queries_B.sql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</si>
</sst>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37" activePane="bottomRight" state="frozen"/>
      <selection pane="topRight"/>
      <selection pane="bottomLeft"/>
      <selection pane="bottomRight" activeCell="G45" sqref="G45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ht="126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30</v>
      </c>
      <c r="K24" s="21">
        <v>1</v>
      </c>
      <c r="L24" s="22" t="s">
        <v>399</v>
      </c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ht="98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30</v>
      </c>
      <c r="K28" s="21">
        <v>1</v>
      </c>
      <c r="L28" s="22" t="s">
        <v>400</v>
      </c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ht="98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30</v>
      </c>
      <c r="K31" s="21">
        <v>1</v>
      </c>
      <c r="L31" s="22" t="s">
        <v>401</v>
      </c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24</v>
      </c>
      <c r="K34" s="21">
        <v>0.3</v>
      </c>
      <c r="L34" s="22" t="s">
        <v>405</v>
      </c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ht="140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30</v>
      </c>
      <c r="K37" s="21">
        <v>1</v>
      </c>
      <c r="L37" s="22" t="s">
        <v>403</v>
      </c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30</v>
      </c>
      <c r="K41" s="21">
        <v>1</v>
      </c>
      <c r="L41" s="22" t="s">
        <v>404</v>
      </c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ht="18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30</v>
      </c>
      <c r="K45" s="21">
        <v>1</v>
      </c>
      <c r="L45" s="22" t="s">
        <v>407</v>
      </c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24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24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8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ht="306" x14ac:dyDescent="0.2">
      <c r="A9" s="20">
        <v>4</v>
      </c>
      <c r="B9" s="31">
        <v>46322</v>
      </c>
      <c r="C9" s="20" t="s">
        <v>22</v>
      </c>
      <c r="D9" s="22" t="s">
        <v>408</v>
      </c>
      <c r="E9" s="22" t="s">
        <v>402</v>
      </c>
      <c r="F9" s="22" t="s">
        <v>406</v>
      </c>
      <c r="G9" s="22" t="s">
        <v>409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11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0.57894736842105265</v>
      </c>
      <c r="G5" s="34">
        <f>IFERROR(AVERAGEIF('Kế hoạch'!$G$5:$G$109,A5,'Kế hoạch'!$K$5:$K$109),0)</f>
        <v>0.66842105263157892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1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0.25294117647058822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20</v>
      </c>
      <c r="D9" s="35">
        <f>SUM(D5:D8)</f>
        <v>3</v>
      </c>
      <c r="E9" s="35">
        <f>SUM(E5:E8)</f>
        <v>0</v>
      </c>
      <c r="F9" s="36">
        <f>IFERROR(C9/B9,0)</f>
        <v>0.36363636363636365</v>
      </c>
      <c r="G9" s="36">
        <f>IFERROR(AVERAGE('Kế hoạch'!$K$5:$K$109),0)</f>
        <v>0.40000000000000008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3</v>
      </c>
      <c r="D17" s="40">
        <f>IFERROR(C17/B17,0)</f>
        <v>0.2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2026-10-27T12:49:21Z</dcterms:modified>
</cp:coreProperties>
</file>