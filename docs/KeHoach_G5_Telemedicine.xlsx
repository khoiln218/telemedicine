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00" yWindow="660" windowWidth="29040" windowHeight="18980" tabRatio="600" firstSheet="0" activeTab="1" autoFilterDateGrouping="1"/>
  </bookViews>
  <sheets>
    <sheet name="Tổng quan" sheetId="1" state="visible" r:id="rId1"/>
    <sheet name="Kế hoạch" sheetId="2" state="visible" r:id="rId2"/>
    <sheet name="Mảng nghiệp vụ" sheetId="3" state="visible" r:id="rId3"/>
    <sheet name="Viết báo cáo" sheetId="4" state="visible" r:id="rId4"/>
    <sheet name="Báo cáo tuần" sheetId="5" state="visible" r:id="rId5"/>
    <sheet name="Thống kê" sheetId="6" state="visible" r:id="rId6"/>
  </sheets>
  <definedNames>
    <definedName name="_xlnm._FilterDatabase" localSheetId="1" hidden="1">'Kế hoạch'!$A$4:$L$59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"/>
  </numFmts>
  <fonts count="9">
    <font>
      <name val="Calibri"/>
      <family val="2"/>
      <color theme="1"/>
      <sz val="11"/>
      <scheme val="minor"/>
    </font>
    <font>
      <name val="Arial"/>
      <family val="2"/>
      <b val="1"/>
      <color rgb="FF1F4E78"/>
      <sz val="14"/>
    </font>
    <font>
      <name val="Arial"/>
      <family val="2"/>
      <i val="1"/>
      <color rgb="FF595959"/>
      <sz val="10"/>
    </font>
    <font>
      <name val="Arial"/>
      <family val="2"/>
      <b val="1"/>
      <color rgb="FF000000"/>
      <sz val="10"/>
    </font>
    <font>
      <name val="Arial"/>
      <family val="2"/>
      <b val="1"/>
      <color rgb="FF1F4E78"/>
      <sz val="12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i val="1"/>
      <color rgb="FF000000"/>
      <sz val="10"/>
    </font>
    <font>
      <name val="Arial"/>
      <family val="2"/>
      <i val="1"/>
      <color rgb="FF7F7F7F"/>
      <sz val="10"/>
    </font>
  </fonts>
  <fills count="10">
    <fill>
      <patternFill/>
    </fill>
    <fill>
      <patternFill patternType="gray125"/>
    </fill>
    <fill>
      <patternFill patternType="solid">
        <fgColor rgb="FFFFFF00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DE7F6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top" wrapText="1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horizontal="center" vertical="top" wrapText="1"/>
    </xf>
    <xf numFmtId="0" fontId="6" fillId="6" borderId="1" applyAlignment="1" pivotButton="0" quotePrefix="0" xfId="0">
      <alignment vertical="top" wrapText="1"/>
    </xf>
    <xf numFmtId="0" fontId="6" fillId="7" borderId="1" applyAlignment="1" pivotButton="0" quotePrefix="0" xfId="0">
      <alignment horizontal="center" vertical="top" wrapText="1"/>
    </xf>
    <xf numFmtId="0" fontId="6" fillId="7" borderId="1" applyAlignment="1" pivotButton="0" quotePrefix="0" xfId="0">
      <alignment vertical="top" wrapText="1"/>
    </xf>
    <xf numFmtId="0" fontId="6" fillId="8" borderId="1" applyAlignment="1" pivotButton="0" quotePrefix="0" xfId="0">
      <alignment horizontal="center" vertical="top" wrapText="1"/>
    </xf>
    <xf numFmtId="0" fontId="6" fillId="8" borderId="1" applyAlignment="1" pivotButton="0" quotePrefix="0" xfId="0">
      <alignment vertical="top" wrapText="1"/>
    </xf>
    <xf numFmtId="165" fontId="6" fillId="4" borderId="1" applyAlignment="1" pivotButton="0" quotePrefix="0" xfId="0">
      <alignment horizontal="center" vertical="top" wrapText="1"/>
    </xf>
    <xf numFmtId="0" fontId="6" fillId="2" borderId="1" applyAlignment="1" pivotButton="0" quotePrefix="0" xfId="0">
      <alignment horizontal="center" vertical="top" wrapText="1"/>
    </xf>
    <xf numFmtId="9" fontId="6" fillId="2" borderId="1" applyAlignment="1" pivotButton="0" quotePrefix="0" xfId="0">
      <alignment horizontal="center" vertical="top" wrapText="1"/>
    </xf>
    <xf numFmtId="0" fontId="6" fillId="2" borderId="1" applyAlignment="1" pivotButton="0" quotePrefix="0" xfId="0">
      <alignment vertical="top" wrapText="1"/>
    </xf>
    <xf numFmtId="165" fontId="6" fillId="5" borderId="1" applyAlignment="1" pivotButton="0" quotePrefix="0" xfId="0">
      <alignment horizontal="center" vertical="top" wrapText="1"/>
    </xf>
    <xf numFmtId="165" fontId="6" fillId="6" borderId="1" applyAlignment="1" pivotButton="0" quotePrefix="0" xfId="0">
      <alignment horizontal="center" vertical="top" wrapText="1"/>
    </xf>
    <xf numFmtId="165" fontId="6" fillId="7" borderId="1" applyAlignment="1" pivotButton="0" quotePrefix="0" xfId="0">
      <alignment horizontal="center" vertical="top" wrapText="1"/>
    </xf>
    <xf numFmtId="165" fontId="6" fillId="8" borderId="1" applyAlignment="1" pivotButton="0" quotePrefix="0" xfId="0">
      <alignment horizontal="center" vertical="top" wrapText="1"/>
    </xf>
    <xf numFmtId="0" fontId="3" fillId="9" borderId="1" applyAlignment="1" pivotButton="0" quotePrefix="0" xfId="0">
      <alignment vertical="top" wrapText="1"/>
    </xf>
    <xf numFmtId="0" fontId="8" fillId="0" borderId="1" applyAlignment="1" pivotButton="0" quotePrefix="0" xfId="0">
      <alignment horizontal="center" vertical="top" wrapText="1"/>
    </xf>
    <xf numFmtId="164" fontId="8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vertical="top" wrapText="1"/>
    </xf>
    <xf numFmtId="164" fontId="6" fillId="2" borderId="1" applyAlignment="1" pivotButton="0" quotePrefix="0" xfId="0">
      <alignment horizontal="center" vertical="top" wrapText="1"/>
    </xf>
    <xf numFmtId="164" fontId="0" fillId="0" borderId="0" pivotButton="0" quotePrefix="0" xfId="0"/>
    <xf numFmtId="0" fontId="3" fillId="0" borderId="1" applyAlignment="1" pivotButton="0" quotePrefix="0" xfId="0">
      <alignment vertical="top" wrapText="1"/>
    </xf>
    <xf numFmtId="9" fontId="6" fillId="0" borderId="1" applyAlignment="1" pivotButton="0" quotePrefix="0" xfId="0">
      <alignment horizontal="center" vertical="top" wrapText="1"/>
    </xf>
    <xf numFmtId="0" fontId="3" fillId="9" borderId="1" applyAlignment="1" pivotButton="0" quotePrefix="0" xfId="0">
      <alignment horizontal="center" vertical="top" wrapText="1"/>
    </xf>
    <xf numFmtId="9" fontId="3" fillId="9" borderId="1" applyAlignment="1" pivotButton="0" quotePrefix="0" xfId="0">
      <alignment horizontal="center" vertical="top" wrapText="1"/>
    </xf>
    <xf numFmtId="9" fontId="6" fillId="4" borderId="1" applyAlignment="1" pivotButton="0" quotePrefix="0" xfId="0">
      <alignment horizontal="center" vertical="top" wrapText="1"/>
    </xf>
    <xf numFmtId="9" fontId="6" fillId="5" borderId="1" applyAlignment="1" pivotButton="0" quotePrefix="0" xfId="0">
      <alignment horizontal="center" vertical="top" wrapText="1"/>
    </xf>
    <xf numFmtId="9" fontId="6" fillId="6" borderId="1" applyAlignment="1" pivotButton="0" quotePrefix="0" xfId="0">
      <alignment horizontal="center" vertical="top" wrapText="1"/>
    </xf>
    <xf numFmtId="9" fontId="6" fillId="7" borderId="1" applyAlignment="1" pivotButton="0" quotePrefix="0" xfId="0">
      <alignment horizontal="center" vertical="top" wrapText="1"/>
    </xf>
    <xf numFmtId="9" fontId="6" fillId="8" borderId="1" applyAlignment="1" pivotButton="0" quotePrefix="0" xfId="0">
      <alignment horizontal="center" vertical="top" wrapText="1"/>
    </xf>
    <xf numFmtId="0" fontId="7" fillId="0" borderId="0" applyAlignment="1" pivotButton="0" quotePrefix="0" xfId="0">
      <alignment vertical="top" wrapText="1"/>
    </xf>
    <xf numFmtId="0" fontId="0" fillId="0" borderId="0" pivotButton="0" quotePrefix="0" xfId="0"/>
    <xf numFmtId="0" fontId="6" fillId="0" borderId="0" pivotButton="0" quotePrefix="0" xfId="0"/>
  </cellXfs>
  <cellStyles count="1">
    <cellStyle name="Normal" xfId="0" builtinId="0"/>
  </cellStyles>
  <dxfs count="6">
    <dxf>
      <font>
        <name val="Arial"/>
        <color rgb="FF9C0006"/>
      </font>
      <fill>
        <patternFill patternType="solid">
          <fgColor rgb="FFFFC7CE"/>
        </patternFill>
      </fill>
    </dxf>
    <dxf>
      <fill>
        <patternFill patternType="solid">
          <fgColor rgb="FFBDD7EE"/>
        </patternFill>
      </fill>
    </dxf>
    <dxf>
      <font>
        <name val="Arial"/>
        <color rgb="FF006100"/>
      </font>
      <fill>
        <patternFill patternType="solid">
          <fgColor rgb="FFC6EFCE"/>
        </patternFill>
      </fill>
    </dxf>
    <dxf>
      <font>
        <color rgb="FF808080"/>
      </font>
    </dxf>
    <dxf>
      <font>
        <strike val="1"/>
        <color rgb="FF808080"/>
      </font>
    </dxf>
    <dxf>
      <font>
        <color rgb="FF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G5</author>
  </authors>
  <commentList>
    <comment ref="B4" authorId="0" shapeId="0">
      <text>
        <t>Nhập ngày thứ Hai của Tuần 1 theo lịch học. Sheet 'Kế hoạch' tự tính ngày theo ô này.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10" defaultColWidth="8.83203125" defaultRowHeight="15"/>
  <cols>
    <col width="26" customWidth="1" style="43" min="1" max="1"/>
    <col width="22" customWidth="1" style="43" min="2" max="2"/>
    <col width="16" customWidth="1" style="43" min="3" max="3"/>
    <col width="38" customWidth="1" style="43" min="4" max="4"/>
    <col width="44" customWidth="1" style="43" min="5" max="6"/>
  </cols>
  <sheetData>
    <row r="1" ht="18" customHeight="1" s="43">
      <c r="A1" s="1" t="inlineStr">
        <is>
          <t>Kế hoạch đồ án – Nhóm G5 – Đề tài #5: Cổng thông tin phòng khám &amp; y tế từ xa (Telemedicine)</t>
        </is>
      </c>
    </row>
    <row r="2">
      <c r="A2" s="2" t="inlineStr">
        <is>
          <t>INT1313 Cơ sở dữ liệu – Nhóm tổ 06 – HK1 2026-2027 – GV: Lê Hà Thanh</t>
        </is>
      </c>
    </row>
    <row r="4">
      <c r="A4" s="3" t="inlineStr">
        <is>
          <t>Ngày bắt đầu Tuần 1</t>
        </is>
      </c>
      <c r="B4" s="4" t="n"/>
      <c r="C4" s="2" t="inlineStr">
        <is>
          <t>← nhập ngày (ô vàng); để trống thì cột ngày ở sheet Kế hoạch bỏ trống</t>
        </is>
      </c>
    </row>
    <row r="6" ht="16" customHeight="1" s="43">
      <c r="A6" s="5" t="inlineStr">
        <is>
          <t>Thành viên</t>
        </is>
      </c>
    </row>
    <row r="7">
      <c r="A7" s="6" t="inlineStr">
        <is>
          <t>Gọi tắt</t>
        </is>
      </c>
      <c r="B7" s="6" t="inlineStr">
        <is>
          <t>Họ tên</t>
        </is>
      </c>
      <c r="C7" s="6" t="inlineStr">
        <is>
          <t>MSSV</t>
        </is>
      </c>
      <c r="D7" s="6" t="inlineStr">
        <is>
          <t>Email</t>
        </is>
      </c>
      <c r="E7" s="6" t="inlineStr">
        <is>
          <t>Vai trò chung</t>
        </is>
      </c>
      <c r="F7" s="6" t="inlineStr">
        <is>
          <t>Mảng nghiệp vụ sở hữu (end-to-end)</t>
        </is>
      </c>
    </row>
    <row r="8" ht="45" customHeight="1" s="43">
      <c r="A8" s="7" t="inlineStr">
        <is>
          <t>Khôi</t>
        </is>
      </c>
      <c r="B8" s="8" t="inlineStr">
        <is>
          <t>Lê Ngọc Khôi</t>
        </is>
      </c>
      <c r="C8" s="7" t="inlineStr">
        <is>
          <t>B24DTCN061</t>
        </is>
      </c>
      <c r="D8" s="8" t="inlineStr">
        <is>
          <t>khoiln.b24dtcn061@stu.ptit.edu.vn</t>
        </is>
      </c>
      <c r="E8" s="8" t="inlineStr">
        <is>
          <t>Trưởng nhóm: điều phối, báo cáo tiến độ tuần, tổng hợp tài liệu báo cáo, khung ứng dụng Flask, slide</t>
        </is>
      </c>
      <c r="F8" s="8" t="inlineStr">
        <is>
          <t>B. Bệnh nhân &amp; Lịch hẹn (đặt lịch, khám trực tiếp / tư vấn từ xa, chuyển chuyên khoa, thanh toán)</t>
        </is>
      </c>
    </row>
    <row r="9" ht="45" customHeight="1" s="43">
      <c r="A9" s="7" t="inlineStr">
        <is>
          <t>Hữu Khoa</t>
        </is>
      </c>
      <c r="B9" s="8" t="inlineStr">
        <is>
          <t>Đặng Hữu Khoa</t>
        </is>
      </c>
      <c r="C9" s="7" t="inlineStr">
        <is>
          <t>K24DTCN558</t>
        </is>
      </c>
      <c r="D9" s="8" t="inlineStr">
        <is>
          <t>khoadh.k24dtcn558@stu.ptit.edu.vn</t>
        </is>
      </c>
      <c r="E9" s="8" t="inlineStr">
        <is>
          <t>Phụ trách mô hình dữ liệu: ERD tổng (ký hiệu Elmasri), ánh xạ lược đồ, từ điển dữ liệu, script DDL tổng</t>
        </is>
      </c>
      <c r="F9" s="8" t="inlineStr">
        <is>
          <t>A. Nhân viên y tế &amp; Lịch làm việc (EER phân lớp Bác sĩ đa khoa / chuyên khoa)</t>
        </is>
      </c>
    </row>
    <row r="10" ht="45" customHeight="1" s="43">
      <c r="A10" s="7" t="inlineStr">
        <is>
          <t>Đăng Khoa</t>
        </is>
      </c>
      <c r="B10" s="8" t="inlineStr">
        <is>
          <t>Nguyễn Đăng Khoa</t>
        </is>
      </c>
      <c r="C10" s="7" t="inlineStr">
        <is>
          <t>K24DTCN398</t>
        </is>
      </c>
      <c r="D10" s="8" t="inlineStr">
        <is>
          <t>khoand.k24dtcn398@stu.ptit.edu.vn</t>
        </is>
      </c>
      <c r="E10" s="8" t="inlineStr">
        <is>
          <t>Phụ trách kiểm thử &amp; bảo mật: review chuẩn hóa, dữ liệu mẫu, test ràng buộc, kiểm thử hiệu năng, RBAC</t>
        </is>
      </c>
      <c r="F10" s="8" t="inlineStr">
        <is>
          <t>C. Hồ sơ bệnh án &amp; Đơn thuốc điện tử (lần khám, chẩn đoán, đơn thuốc, dị ứng)</t>
        </is>
      </c>
    </row>
    <row r="11" ht="30" customHeight="1" s="43">
      <c r="A11" s="42" t="inlineStr">
        <is>
          <t>Nguyên tắc: mỗi người tự làm mảng của mình từ ERD → ánh xạ → chuẩn hóa → DDL → trigger/view → 4 truy vấn → màn hình UI, nên ai cũng tự bảo vệ được phần SQL của mình. Vai trò chung là phần tổng hợp/kiểm tra chéo, không phải làm thay.</t>
        </is>
      </c>
    </row>
    <row r="13" ht="16" customHeight="1" s="43">
      <c r="A13" s="5" t="inlineStr">
        <is>
          <t>Giai đoạn &amp; trọng số (theo đề cương)</t>
        </is>
      </c>
    </row>
    <row r="14">
      <c r="A14" s="6" t="inlineStr">
        <is>
          <t>Mã</t>
        </is>
      </c>
      <c r="B14" s="6" t="inlineStr">
        <is>
          <t>Giai đoạn</t>
        </is>
      </c>
      <c r="C14" s="6" t="inlineStr">
        <is>
          <t>Tuần</t>
        </is>
      </c>
      <c r="D14" s="6" t="inlineStr">
        <is>
          <t>Sản phẩm phải nộp</t>
        </is>
      </c>
      <c r="E14" s="6" t="inlineStr">
        <is>
          <t>Tiêu chí / Trọng số</t>
        </is>
      </c>
      <c r="F14" s="6" t="inlineStr">
        <is>
          <t>Phiên bản báo cáo</t>
        </is>
      </c>
    </row>
    <row r="15" ht="28" customHeight="1" s="43">
      <c r="A15" s="9" t="inlineStr">
        <is>
          <t>GĐ0</t>
        </is>
      </c>
      <c r="B15" s="10" t="inlineStr">
        <is>
          <t>Khảo sát &amp; Xác lập yêu cầu</t>
        </is>
      </c>
      <c r="C15" s="9" t="inlineStr">
        <is>
          <t>1–2</t>
        </is>
      </c>
      <c r="D15" s="10" t="inlineStr">
        <is>
          <t>Database Requirement Specification: mục tiêu, phạm vi, quy tắc nghiệp vụ</t>
        </is>
      </c>
      <c r="E15" s="10" t="inlineStr">
        <is>
          <t>Nền cho GĐ1</t>
        </is>
      </c>
      <c r="F15" s="9" t="inlineStr">
        <is>
          <t>v1</t>
        </is>
      </c>
    </row>
    <row r="16" ht="28" customHeight="1" s="43">
      <c r="A16" s="11" t="inlineStr">
        <is>
          <t>GĐ1</t>
        </is>
      </c>
      <c r="B16" s="12" t="inlineStr">
        <is>
          <t>Thiết kế khái niệm</t>
        </is>
      </c>
      <c r="C16" s="11" t="inlineStr">
        <is>
          <t>3–4</t>
        </is>
      </c>
      <c r="D16" s="12" t="inlineStr">
        <is>
          <t>Phát biểu vấn đề, quy tắc nghiệp vụ, sơ đồ ER/EER toàn diện</t>
        </is>
      </c>
      <c r="E16" s="12" t="inlineStr">
        <is>
          <t>Thiết kế – 20%</t>
        </is>
      </c>
      <c r="F16" s="11" t="inlineStr">
        <is>
          <t>v2.1</t>
        </is>
      </c>
    </row>
    <row r="17" ht="28" customHeight="1" s="43">
      <c r="A17" s="13" t="inlineStr">
        <is>
          <t>GĐ2</t>
        </is>
      </c>
      <c r="B17" s="14" t="inlineStr">
        <is>
          <t>Thiết kế logic &amp; chuẩn hóa</t>
        </is>
      </c>
      <c r="C17" s="13" t="inlineStr">
        <is>
          <t>5–8</t>
        </is>
      </c>
      <c r="D17" s="14" t="inlineStr">
        <is>
          <t>Ánh xạ lược đồ quan hệ, khóa ngoại, chứng minh 3NF/BCNF, từ điển dữ liệu</t>
        </is>
      </c>
      <c r="E17" s="14" t="inlineStr">
        <is>
          <t>Phân tích – 20%</t>
        </is>
      </c>
      <c r="F17" s="13" t="inlineStr">
        <is>
          <t>v2.2</t>
        </is>
      </c>
    </row>
    <row r="18" ht="28" customHeight="1" s="43">
      <c r="A18" s="15" t="inlineStr">
        <is>
          <t>GĐ3</t>
        </is>
      </c>
      <c r="B18" s="16" t="inlineStr">
        <is>
          <t>Cài đặt &amp; truy vấn</t>
        </is>
      </c>
      <c r="C18" s="15" t="inlineStr">
        <is>
          <t>9–10</t>
        </is>
      </c>
      <c r="D18" s="16" t="inlineStr">
        <is>
          <t>DDL, dữ liệu mẫu (DML), 10+ truy vấn phức tạp, ≥2 trigger/view, test, RBAC</t>
        </is>
      </c>
      <c r="E18" s="16" t="inlineStr">
        <is>
          <t>Cài đặt – 30%</t>
        </is>
      </c>
      <c r="F18" s="15" t="inlineStr">
        <is>
          <t>v3</t>
        </is>
      </c>
    </row>
    <row r="19" ht="28" customHeight="1" s="43">
      <c r="A19" s="17" t="inlineStr">
        <is>
          <t>GĐ4</t>
        </is>
      </c>
      <c r="B19" s="18" t="inlineStr">
        <is>
          <t>Tích hợp ứng dụng &amp; bảo vệ</t>
        </is>
      </c>
      <c r="C19" s="17" t="inlineStr">
        <is>
          <t>11–12</t>
        </is>
      </c>
      <c r="D19" s="18" t="inlineStr">
        <is>
          <t>UI + backend Flask kết nối CSDL, thuyết trình, đánh giá chéo</t>
        </is>
      </c>
      <c r="E19" s="18" t="inlineStr">
        <is>
          <t>Làm việc nhóm – 30%</t>
        </is>
      </c>
      <c r="F19" s="17" t="inlineStr">
        <is>
          <t>v4 (bản cuối)</t>
        </is>
      </c>
    </row>
    <row r="21" ht="16" customHeight="1" s="43">
      <c r="A21" s="5" t="inlineStr">
        <is>
          <t>Công nghệ đề xuất</t>
        </is>
      </c>
    </row>
    <row r="22">
      <c r="A22" s="3" t="inlineStr">
        <is>
          <t>DBMS</t>
        </is>
      </c>
      <c r="B22" s="44" t="inlineStr">
        <is>
          <t>PostgreSQL 16 (CHECK, trigger PL/pgSQL, EXCLUDE constraint chống trùng lịch, GRANT/REVOKE theo role)</t>
        </is>
      </c>
    </row>
    <row r="23">
      <c r="A23" s="3" t="inlineStr">
        <is>
          <t>Vẽ ERD</t>
        </is>
      </c>
      <c r="B23" s="44" t="inlineStr">
        <is>
          <t>draw.io (ký hiệu Chen/Elmasri như giáo trình) – lưu file .drawio trong repo</t>
        </is>
      </c>
    </row>
    <row r="24">
      <c r="A24" s="3" t="inlineStr">
        <is>
          <t>Backend / UI</t>
        </is>
      </c>
      <c r="B24" s="44" t="inlineStr">
        <is>
          <t>Python Flask + psycopg + Jinja2 (HTML đơn giản)</t>
        </is>
      </c>
    </row>
    <row r="25">
      <c r="A25" s="3" t="inlineStr">
        <is>
          <t>Quản lý mã</t>
        </is>
      </c>
      <c r="B25" s="44" t="inlineStr">
        <is>
          <t>GitHub repo chung: /docs, /erd, /sql (schema, seed, queries, tests, rbac), /app</t>
        </is>
      </c>
    </row>
    <row r="26">
      <c r="A26" s="3" t="inlineStr">
        <is>
          <t>Liên lạc</t>
        </is>
      </c>
      <c r="B26" s="44" t="inlineStr">
        <is>
          <t>Nhóm Zalo/Messenger + họp online 1 buổi/tuần (khoảng 45 phút)</t>
        </is>
      </c>
    </row>
    <row r="28" ht="16" customHeight="1" s="43">
      <c r="A28" s="5" t="inlineStr">
        <is>
          <t>Chú thích</t>
        </is>
      </c>
    </row>
    <row r="29">
      <c r="A29" s="44" t="inlineStr">
        <is>
          <t>• Ô nền vàng = ô cần nhập (ngày bắt đầu, trạng thái, % hoàn thành, ghi chú).</t>
        </is>
      </c>
    </row>
    <row r="30">
      <c r="A30" s="44" t="inlineStr">
        <is>
          <t>• Sheet 'Kế hoạch': cập nhật cột Trạng thái và % mỗi tuần trước buổi họp. Sheet 'Thống kê' tự tính tiến độ.</t>
        </is>
      </c>
    </row>
    <row r="31">
      <c r="A31" s="44" t="inlineStr">
        <is>
          <t>• Sheet 'Báo cáo tuần': mỗi thành viên ghi 1 dòng/tuần (dòng 1 là ví dụ mẫu) – dùng làm bằng chứng cho đánh giá chéo.</t>
        </is>
      </c>
    </row>
    <row r="32">
      <c r="A32" s="44" t="inlineStr">
        <is>
          <t>• Có thể đổi người phụ trách giữa các mảng nếu cả nhóm đồng ý; sửa ở sheet 'Tổng quan' và 'Kế hoạch'.</t>
        </is>
      </c>
    </row>
  </sheetData>
  <mergeCells count="10">
    <mergeCell ref="A11:F11"/>
    <mergeCell ref="B24:F24"/>
    <mergeCell ref="B25:F25"/>
    <mergeCell ref="A32:F32"/>
    <mergeCell ref="A31:F31"/>
    <mergeCell ref="B23:F23"/>
    <mergeCell ref="B22:F22"/>
    <mergeCell ref="A30:F30"/>
    <mergeCell ref="B26:F26"/>
    <mergeCell ref="A29:F29"/>
  </mergeCells>
  <pageMargins left="0.75" right="0.75" top="1" bottom="1" header="0.5" footer="0.5"/>
  <pageSetup orientation="landscape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9"/>
  <sheetViews>
    <sheetView showGridLines="0" tabSelected="1" workbookViewId="0">
      <pane xSplit="6" ySplit="4" topLeftCell="G42" activePane="bottomRight" state="frozen"/>
      <selection pane="topRight" activeCell="A1" sqref="A1"/>
      <selection pane="bottomLeft" activeCell="A1" sqref="A1"/>
      <selection pane="bottomRight" activeCell="F50" sqref="F50"/>
    </sheetView>
  </sheetViews>
  <sheetFormatPr baseColWidth="10" defaultColWidth="8.83203125" defaultRowHeight="15"/>
  <cols>
    <col width="7" customWidth="1" style="43" min="1" max="2"/>
    <col width="11" customWidth="1" style="43" min="3" max="4"/>
    <col width="9" customWidth="1" style="43" min="5" max="5"/>
    <col width="58" customWidth="1" style="43" min="6" max="6"/>
    <col width="14" customWidth="1" style="43" min="7" max="8"/>
    <col width="36" customWidth="1" style="43" min="9" max="9"/>
    <col width="14" customWidth="1" style="43" min="10" max="10"/>
    <col width="11" customWidth="1" style="43" min="11" max="11"/>
    <col width="28" customWidth="1" style="43" min="12" max="12"/>
  </cols>
  <sheetData>
    <row r="1" ht="18" customHeight="1" s="43">
      <c r="A1" s="1" t="inlineStr">
        <is>
          <t>Kế hoạch công việc theo tuần</t>
        </is>
      </c>
    </row>
    <row r="2">
      <c r="A2" s="2" t="inlineStr">
        <is>
          <t>Cập nhật cột Trạng thái / % hoàn thành / Ghi chú (ô vàng) mỗi tuần.</t>
        </is>
      </c>
    </row>
    <row r="4" ht="28" customHeight="1" s="43">
      <c r="A4" s="6" t="inlineStr">
        <is>
          <t>Mã</t>
        </is>
      </c>
      <c r="B4" s="6" t="inlineStr">
        <is>
          <t>Tuần</t>
        </is>
      </c>
      <c r="C4" s="6" t="inlineStr">
        <is>
          <t>Từ ngày</t>
        </is>
      </c>
      <c r="D4" s="6" t="inlineStr">
        <is>
          <t>Đến ngày</t>
        </is>
      </c>
      <c r="E4" s="6" t="inlineStr">
        <is>
          <t>Giai đoạn</t>
        </is>
      </c>
      <c r="F4" s="6" t="inlineStr">
        <is>
          <t>Công việc</t>
        </is>
      </c>
      <c r="G4" s="6" t="inlineStr">
        <is>
          <t>Người phụ trách</t>
        </is>
      </c>
      <c r="H4" s="6" t="inlineStr">
        <is>
          <t>Người review</t>
        </is>
      </c>
      <c r="I4" s="6" t="inlineStr">
        <is>
          <t>Sản phẩm / Kết quả</t>
        </is>
      </c>
      <c r="J4" s="6" t="inlineStr">
        <is>
          <t>Trạng thái</t>
        </is>
      </c>
      <c r="K4" s="6" t="inlineStr">
        <is>
          <t>% hoàn thành</t>
        </is>
      </c>
      <c r="L4" s="6" t="inlineStr">
        <is>
          <t>Ghi chú</t>
        </is>
      </c>
    </row>
    <row r="5" ht="28" customHeight="1" s="43">
      <c r="A5" s="9" t="inlineStr">
        <is>
          <t>T01</t>
        </is>
      </c>
      <c r="B5" s="9" t="n">
        <v>1</v>
      </c>
      <c r="C5" s="19">
        <f>IF('Tổng quan'!$B$4="","",'Tổng quan'!$B$4+(B5-1)*7)</f>
        <v/>
      </c>
      <c r="D5" s="19">
        <f>IF('Tổng quan'!$B$4="","",C5+6)</f>
        <v/>
      </c>
      <c r="E5" s="9" t="inlineStr">
        <is>
          <t>GĐ0</t>
        </is>
      </c>
      <c r="F5" s="10" t="inlineStr">
        <is>
          <t>Họp khởi động: thống nhất vai trò, mảng nghiệp vụ, lịch họp, kênh liên lạc</t>
        </is>
      </c>
      <c r="G5" s="9" t="inlineStr">
        <is>
          <t>Cả nhóm</t>
        </is>
      </c>
      <c r="H5" s="9" t="inlineStr">
        <is>
          <t>Cả nhóm</t>
        </is>
      </c>
      <c r="I5" s="10" t="inlineStr">
        <is>
          <t>Biên bản họp #1</t>
        </is>
      </c>
      <c r="J5" s="20" t="inlineStr">
        <is>
          <t>Chưa bắt đầu</t>
        </is>
      </c>
      <c r="K5" s="21" t="n">
        <v>0</v>
      </c>
      <c r="L5" s="22" t="n"/>
    </row>
    <row r="6" ht="70" customHeight="1" s="43">
      <c r="A6" s="9" t="inlineStr">
        <is>
          <t>T02</t>
        </is>
      </c>
      <c r="B6" s="9" t="n">
        <v>1</v>
      </c>
      <c r="C6" s="19">
        <f>IF('Tổng quan'!$B$4="","",'Tổng quan'!$B$4+(B6-1)*7)</f>
        <v/>
      </c>
      <c r="D6" s="19">
        <f>IF('Tổng quan'!$B$4="","",C6+6)</f>
        <v/>
      </c>
      <c r="E6" s="9" t="inlineStr">
        <is>
          <t>GĐ0</t>
        </is>
      </c>
      <c r="F6" s="10" t="inlineStr">
        <is>
          <t>Tạo repo GitHub + cấu trúc thư mục; cài PostgreSQL &amp; draw.io trên máy cả nhóm</t>
        </is>
      </c>
      <c r="G6" s="9" t="inlineStr">
        <is>
          <t>Khôi</t>
        </is>
      </c>
      <c r="H6" s="9" t="inlineStr">
        <is>
          <t>Cả nhóm</t>
        </is>
      </c>
      <c r="I6" s="10" t="inlineStr">
        <is>
          <t>Repo + README hướng dẫn cài đặt</t>
        </is>
      </c>
      <c r="J6" s="20" t="inlineStr">
        <is>
          <t>Đang làm</t>
        </is>
      </c>
      <c r="K6" s="21" t="n">
        <v>0.8</v>
      </c>
      <c r="L6" s="22" t="inlineStr">
        <is>
          <t>Repo + cấu trúc thư mục + README xong; máy Khôi đã cài PG16 + draw.io. Chờ Hữu Khoa, Đăng Khoa cài theo README và báo lại</t>
        </is>
      </c>
    </row>
    <row r="7" ht="42" customHeight="1" s="43">
      <c r="A7" s="9" t="inlineStr">
        <is>
          <t>T03</t>
        </is>
      </c>
      <c r="B7" s="9" t="n">
        <v>1</v>
      </c>
      <c r="C7" s="19">
        <f>IF('Tổng quan'!$B$4="","",'Tổng quan'!$B$4+(B7-1)*7)</f>
        <v/>
      </c>
      <c r="D7" s="19">
        <f>IF('Tổng quan'!$B$4="","",C7+6)</f>
        <v/>
      </c>
      <c r="E7" s="9" t="inlineStr">
        <is>
          <t>GĐ0</t>
        </is>
      </c>
      <c r="F7" s="10" t="inlineStr">
        <is>
          <t>Khảo sát quy trình đặt lịch, khám trực tiếp, tư vấn từ xa, thanh toán (biểu mẫu, ứng dụng thực tế)</t>
        </is>
      </c>
      <c r="G7" s="9" t="inlineStr">
        <is>
          <t>Khôi</t>
        </is>
      </c>
      <c r="H7" s="9" t="inlineStr">
        <is>
          <t>Đăng Khoa</t>
        </is>
      </c>
      <c r="I7" s="10" t="inlineStr">
        <is>
          <t>Ghi chú khảo sát mảng B</t>
        </is>
      </c>
      <c r="J7" s="20" t="inlineStr">
        <is>
          <t>Hoàn thành</t>
        </is>
      </c>
      <c r="K7" s="21" t="n">
        <v>1</v>
      </c>
      <c r="L7" s="22" t="inlineStr">
        <is>
          <t>docs/khao-sat/T03_KhaoSat_MangB.md – viết lại theo ISO/IEC/IEEE 29148, bổ sung quy định khám từ xa (19/10); chờ Đăng Khoa review</t>
        </is>
      </c>
    </row>
    <row r="8" ht="28" customHeight="1" s="43">
      <c r="A8" s="9" t="inlineStr">
        <is>
          <t>T04</t>
        </is>
      </c>
      <c r="B8" s="9" t="n">
        <v>1</v>
      </c>
      <c r="C8" s="19">
        <f>IF('Tổng quan'!$B$4="","",'Tổng quan'!$B$4+(B8-1)*7)</f>
        <v/>
      </c>
      <c r="D8" s="19">
        <f>IF('Tổng quan'!$B$4="","",C8+6)</f>
        <v/>
      </c>
      <c r="E8" s="9" t="inlineStr">
        <is>
          <t>GĐ0</t>
        </is>
      </c>
      <c r="F8" s="10" t="inlineStr">
        <is>
          <t>Khảo sát tổ chức nhân sự y tế, chuyên khoa, chứng chỉ hành nghề, ca làm việc</t>
        </is>
      </c>
      <c r="G8" s="9" t="inlineStr">
        <is>
          <t>Hữu Khoa</t>
        </is>
      </c>
      <c r="H8" s="9" t="inlineStr">
        <is>
          <t>Khôi</t>
        </is>
      </c>
      <c r="I8" s="10" t="inlineStr">
        <is>
          <t>Ghi chú khảo sát mảng A</t>
        </is>
      </c>
      <c r="J8" s="20" t="inlineStr">
        <is>
          <t>Hoàn thành</t>
        </is>
      </c>
      <c r="K8" s="21" t="n">
        <v>1</v>
      </c>
      <c r="L8" s="22" t="inlineStr">
        <is>
          <t>docs/khao-sat/T04_KhaoSat_MangA.md – Khôi soạn 19/10 theo ISO/IEC/IEEE 29148; chờ Hữu Khoa xác nhận</t>
        </is>
      </c>
    </row>
    <row r="9" ht="42" customHeight="1" s="43">
      <c r="A9" s="9" t="inlineStr">
        <is>
          <t>T05</t>
        </is>
      </c>
      <c r="B9" s="9" t="n">
        <v>1</v>
      </c>
      <c r="C9" s="19">
        <f>IF('Tổng quan'!$B$4="","",'Tổng quan'!$B$4+(B9-1)*7)</f>
        <v/>
      </c>
      <c r="D9" s="19">
        <f>IF('Tổng quan'!$B$4="","",C9+6)</f>
        <v/>
      </c>
      <c r="E9" s="9" t="inlineStr">
        <is>
          <t>GĐ0</t>
        </is>
      </c>
      <c r="F9" s="10" t="inlineStr">
        <is>
          <t>Khảo sát hồ sơ bệnh án, chẩn đoán (ICD-10), đơn thuốc điện tử, dị ứng thuốc</t>
        </is>
      </c>
      <c r="G9" s="9" t="inlineStr">
        <is>
          <t>Đăng Khoa</t>
        </is>
      </c>
      <c r="H9" s="9" t="inlineStr">
        <is>
          <t>Hữu Khoa</t>
        </is>
      </c>
      <c r="I9" s="10" t="inlineStr">
        <is>
          <t>Ghi chú khảo sát mảng C</t>
        </is>
      </c>
      <c r="J9" s="20" t="inlineStr">
        <is>
          <t>Hoàn thành</t>
        </is>
      </c>
      <c r="K9" s="21" t="n">
        <v>1</v>
      </c>
      <c r="L9" s="22" t="inlineStr">
        <is>
          <t>docs/khao-sat/T05_KhaoSat_MangC.md – viết lại theo ISO/IEC/IEEE 29148, bổ sung quy định kê đơn, bệnh án điện tử (19/10); chờ Hữu Khoa review</t>
        </is>
      </c>
    </row>
    <row r="10" ht="56" customHeight="1" s="43">
      <c r="A10" s="9" t="inlineStr">
        <is>
          <t>T06</t>
        </is>
      </c>
      <c r="B10" s="9" t="n">
        <v>2</v>
      </c>
      <c r="C10" s="19">
        <f>IF('Tổng quan'!$B$4="","",'Tổng quan'!$B$4+(B10-1)*7)</f>
        <v/>
      </c>
      <c r="D10" s="19">
        <f>IF('Tổng quan'!$B$4="","",C10+6)</f>
        <v/>
      </c>
      <c r="E10" s="9" t="inlineStr">
        <is>
          <t>GĐ0</t>
        </is>
      </c>
      <c r="F10" s="10" t="inlineStr">
        <is>
          <t>Viết mục 1 + 1.1: giới thiệu, phạm vi, mục tiêu hệ thống, tác nhân (theo ISO/IEC/IEEE 29148)</t>
        </is>
      </c>
      <c r="G10" s="9" t="inlineStr">
        <is>
          <t>Khôi</t>
        </is>
      </c>
      <c r="H10" s="9" t="inlineStr">
        <is>
          <t>Hữu Khoa</t>
        </is>
      </c>
      <c r="I10" s="10" t="inlineStr">
        <is>
          <t>Báo cáo mục 1, 1.1</t>
        </is>
      </c>
      <c r="J10" s="20" t="inlineStr">
        <is>
          <t>Hoàn thành</t>
        </is>
      </c>
      <c r="K10" s="21" t="n">
        <v>1</v>
      </c>
      <c r="L10" s="22" t="inlineStr">
        <is>
          <t>Đã điền mục 1, 1.1 vào docs/INT1313_TX_G5_DeTai05_Telemedicine_v0.docx – chờ Hữu Khoa review</t>
        </is>
      </c>
    </row>
    <row r="11" ht="70" customHeight="1" s="43">
      <c r="A11" s="9" t="inlineStr">
        <is>
          <t>T07</t>
        </is>
      </c>
      <c r="B11" s="9" t="n">
        <v>2</v>
      </c>
      <c r="C11" s="19">
        <f>IF('Tổng quan'!$B$4="","",'Tổng quan'!$B$4+(B11-1)*7)</f>
        <v/>
      </c>
      <c r="D11" s="19">
        <f>IF('Tổng quan'!$B$4="","",C11+6)</f>
        <v/>
      </c>
      <c r="E11" s="9" t="inlineStr">
        <is>
          <t>GĐ0</t>
        </is>
      </c>
      <c r="F11" s="10" t="inlineStr">
        <is>
          <t>Viết quy tắc nghiệp vụ BR-A01… cho mảng A (đánh số, có thể kiểm chứng)</t>
        </is>
      </c>
      <c r="G11" s="9" t="inlineStr">
        <is>
          <t>Hữu Khoa</t>
        </is>
      </c>
      <c r="H11" s="9" t="inlineStr">
        <is>
          <t>Đăng Khoa</t>
        </is>
      </c>
      <c r="I11" s="10" t="inlineStr">
        <is>
          <t>Danh sách BR mảng A</t>
        </is>
      </c>
      <c r="J11" s="20" t="inlineStr">
        <is>
          <t>Hoàn thành</t>
        </is>
      </c>
      <c r="K11" s="21" t="n">
        <v>1</v>
      </c>
      <c r="L11" s="22" t="inlineStr">
        <is>
          <t>docs/br/T07_BR_MangA.md – BR-A01…A08 theo Business Rules Manifesto/SBVR, khớp báo cáo v2.1 (19/10); chờ Đăng Khoa review</t>
        </is>
      </c>
    </row>
    <row r="12" ht="56" customHeight="1" s="43">
      <c r="A12" s="9" t="inlineStr">
        <is>
          <t>T08</t>
        </is>
      </c>
      <c r="B12" s="9" t="n">
        <v>2</v>
      </c>
      <c r="C12" s="19">
        <f>IF('Tổng quan'!$B$4="","",'Tổng quan'!$B$4+(B12-1)*7)</f>
        <v/>
      </c>
      <c r="D12" s="19">
        <f>IF('Tổng quan'!$B$4="","",C12+6)</f>
        <v/>
      </c>
      <c r="E12" s="9" t="inlineStr">
        <is>
          <t>GĐ0</t>
        </is>
      </c>
      <c r="F12" s="10" t="inlineStr">
        <is>
          <t>Viết quy tắc nghiệp vụ BR-B01… cho mảng B</t>
        </is>
      </c>
      <c r="G12" s="9" t="inlineStr">
        <is>
          <t>Khôi</t>
        </is>
      </c>
      <c r="H12" s="9" t="inlineStr">
        <is>
          <t>Hữu Khoa</t>
        </is>
      </c>
      <c r="I12" s="10" t="inlineStr">
        <is>
          <t>Danh sách BR mảng B</t>
        </is>
      </c>
      <c r="J12" s="20" t="inlineStr">
        <is>
          <t>Hoàn thành</t>
        </is>
      </c>
      <c r="K12" s="21" t="n">
        <v>1</v>
      </c>
      <c r="L12" s="22" t="inlineStr">
        <is>
          <t>docs/br/T08_BR_MangB.md – thu gọn còn BR-B01…B07, theo Business Rules Manifesto/SBVR (19/10); chờ Hữu Khoa review</t>
        </is>
      </c>
    </row>
    <row r="13" ht="56" customHeight="1" s="43">
      <c r="A13" s="9" t="inlineStr">
        <is>
          <t>T09</t>
        </is>
      </c>
      <c r="B13" s="9" t="n">
        <v>2</v>
      </c>
      <c r="C13" s="19">
        <f>IF('Tổng quan'!$B$4="","",'Tổng quan'!$B$4+(B13-1)*7)</f>
        <v/>
      </c>
      <c r="D13" s="19">
        <f>IF('Tổng quan'!$B$4="","",C13+6)</f>
        <v/>
      </c>
      <c r="E13" s="9" t="inlineStr">
        <is>
          <t>GĐ0</t>
        </is>
      </c>
      <c r="F13" s="10" t="inlineStr">
        <is>
          <t>Viết quy tắc nghiệp vụ BR-C01… cho mảng C</t>
        </is>
      </c>
      <c r="G13" s="9" t="inlineStr">
        <is>
          <t>Đăng Khoa</t>
        </is>
      </c>
      <c r="H13" s="9" t="inlineStr">
        <is>
          <t>Khôi</t>
        </is>
      </c>
      <c r="I13" s="10" t="inlineStr">
        <is>
          <t>Danh sách BR mảng C</t>
        </is>
      </c>
      <c r="J13" s="20" t="inlineStr">
        <is>
          <t>Hoàn thành</t>
        </is>
      </c>
      <c r="K13" s="21" t="n">
        <v>1</v>
      </c>
      <c r="L13" s="22" t="inlineStr">
        <is>
          <t>docs/br/T09_BR_MangC.md – BR-C01…C05 theo Business Rules Manifesto/SBVR; Khôi đã review 19/10</t>
        </is>
      </c>
    </row>
    <row r="14" ht="84" customHeight="1" s="43">
      <c r="A14" s="9" t="inlineStr">
        <is>
          <t>T10</t>
        </is>
      </c>
      <c r="B14" s="9" t="n">
        <v>2</v>
      </c>
      <c r="C14" s="19">
        <f>IF('Tổng quan'!$B$4="","",'Tổng quan'!$B$4+(B14-1)*7)</f>
        <v/>
      </c>
      <c r="D14" s="19">
        <f>IF('Tổng quan'!$B$4="","",C14+6)</f>
        <v/>
      </c>
      <c r="E14" s="9" t="inlineStr">
        <is>
          <t>GĐ0</t>
        </is>
      </c>
      <c r="F14" s="10" t="inlineStr">
        <is>
          <t>Tổng hợp mục 1.2, review chéo, nộp báo cáo v1 + báo cáo tiến độ</t>
        </is>
      </c>
      <c r="G14" s="9" t="inlineStr">
        <is>
          <t>Khôi</t>
        </is>
      </c>
      <c r="H14" s="9" t="inlineStr">
        <is>
          <t>Cả nhóm</t>
        </is>
      </c>
      <c r="I14" s="10" t="inlineStr">
        <is>
          <t>Báo cáo v1</t>
        </is>
      </c>
      <c r="J14" s="20" t="inlineStr">
        <is>
          <t>Hoàn thành</t>
        </is>
      </c>
      <c r="K14" s="21" t="n">
        <v>1</v>
      </c>
      <c r="L14" s="22" t="inlineStr">
        <is>
          <t>Đã nộp báo cáo v1 (mục 1, 1.1, 1.2) và báo cáo tiến độ. Nội dung v1 được nối tiếp trong docs/INT1313_TX_G5_DeTai05_Telemedicine_v2.1.docx; bản v1 xem lịch sử git (commit a2902ac)</t>
        </is>
      </c>
    </row>
    <row r="15" ht="28" customHeight="1" s="43">
      <c r="A15" s="11" t="inlineStr">
        <is>
          <t>T11</t>
        </is>
      </c>
      <c r="B15" s="11" t="n">
        <v>3</v>
      </c>
      <c r="C15" s="23">
        <f>IF('Tổng quan'!$B$4="","",'Tổng quan'!$B$4+(B15-1)*7)</f>
        <v/>
      </c>
      <c r="D15" s="23">
        <f>IF('Tổng quan'!$B$4="","",C15+6)</f>
        <v/>
      </c>
      <c r="E15" s="11" t="inlineStr">
        <is>
          <t>GĐ1</t>
        </is>
      </c>
      <c r="F15" s="12" t="inlineStr">
        <is>
          <t>Vẽ EER mảng A: BAC_SI → {ĐA_KHOA, CHUYÊN_KHOA}; ràng buộc disjoint/total; chuyên khoa, ca làm việc</t>
        </is>
      </c>
      <c r="G15" s="11" t="inlineStr">
        <is>
          <t>Hữu Khoa</t>
        </is>
      </c>
      <c r="H15" s="11" t="inlineStr">
        <is>
          <t>Đăng Khoa</t>
        </is>
      </c>
      <c r="I15" s="12" t="inlineStr">
        <is>
          <t>ERD mảng A (.drawio)</t>
        </is>
      </c>
      <c r="J15" s="20" t="inlineStr">
        <is>
          <t>Hoàn thành</t>
        </is>
      </c>
      <c r="K15" s="21" t="n">
        <v>1</v>
      </c>
      <c r="L15" s="22" t="inlineStr">
        <is>
          <t>erd/A.drawio, erd/A.png – Khôi vẽ 19/10 theo T04, T07; chờ Hữu Khoa xác nhận tên liên kết THUỘC, XẾP_CA</t>
        </is>
      </c>
    </row>
    <row r="16" ht="42" customHeight="1" s="43">
      <c r="A16" s="11" t="inlineStr">
        <is>
          <t>T12</t>
        </is>
      </c>
      <c r="B16" s="11" t="n">
        <v>3</v>
      </c>
      <c r="C16" s="23">
        <f>IF('Tổng quan'!$B$4="","",'Tổng quan'!$B$4+(B16-1)*7)</f>
        <v/>
      </c>
      <c r="D16" s="23">
        <f>IF('Tổng quan'!$B$4="","",C16+6)</f>
        <v/>
      </c>
      <c r="E16" s="11" t="inlineStr">
        <is>
          <t>GĐ1</t>
        </is>
      </c>
      <c r="F16" s="12" t="inlineStr">
        <is>
          <t>Vẽ ER/EER mảng B: BENH_NHAN, LICH_HEN → {KHÁM_TRỰC_TIẾP, TƯ_VẤN_TỪ_XA}, giấy chuyển chuyên khoa, hóa đơn</t>
        </is>
      </c>
      <c r="G16" s="11" t="inlineStr">
        <is>
          <t>Khôi</t>
        </is>
      </c>
      <c r="H16" s="11" t="inlineStr">
        <is>
          <t>Hữu Khoa</t>
        </is>
      </c>
      <c r="I16" s="12" t="inlineStr">
        <is>
          <t>ERD mảng B</t>
        </is>
      </c>
      <c r="J16" s="20" t="inlineStr">
        <is>
          <t>Hoàn thành</t>
        </is>
      </c>
      <c r="K16" s="21" t="n">
        <v>1</v>
      </c>
      <c r="L16" s="22" t="inlineStr">
        <is>
          <t>erd/B.drawio, erd/B.png – Chen/Elmasri; bỏ HOA_DON, phí khám là thuộc tính lịch hẹn (19/10); chờ Hữu Khoa review</t>
        </is>
      </c>
    </row>
    <row r="17" ht="28" customHeight="1" s="43">
      <c r="A17" s="11" t="inlineStr">
        <is>
          <t>T13</t>
        </is>
      </c>
      <c r="B17" s="11" t="n">
        <v>3</v>
      </c>
      <c r="C17" s="23">
        <f>IF('Tổng quan'!$B$4="","",'Tổng quan'!$B$4+(B17-1)*7)</f>
        <v/>
      </c>
      <c r="D17" s="23">
        <f>IF('Tổng quan'!$B$4="","",C17+6)</f>
        <v/>
      </c>
      <c r="E17" s="11" t="inlineStr">
        <is>
          <t>GĐ1</t>
        </is>
      </c>
      <c r="F17" s="12" t="inlineStr">
        <is>
          <t>Vẽ ER mảng C: HO_SO_BENH_AN, LAN_KHAM, CHAN_DOAN, DON_THUOC, THUOC, DI_UNG</t>
        </is>
      </c>
      <c r="G17" s="11" t="inlineStr">
        <is>
          <t>Đăng Khoa</t>
        </is>
      </c>
      <c r="H17" s="11" t="inlineStr">
        <is>
          <t>Khôi</t>
        </is>
      </c>
      <c r="I17" s="12" t="inlineStr">
        <is>
          <t>ERD mảng C</t>
        </is>
      </c>
      <c r="J17" s="20" t="inlineStr">
        <is>
          <t>Hoàn thành</t>
        </is>
      </c>
      <c r="K17" s="21" t="n">
        <v>1</v>
      </c>
      <c r="L17" s="22" t="inlineStr">
        <is>
          <t>erd/C.drawio, erd/C.png – Chen/Elmasri; bỏ HO_SO_BENH_AN, chi tiết đơn là liên kết M:N KÊ (19/10); Khôi đã review</t>
        </is>
      </c>
    </row>
    <row r="18" ht="28" customHeight="1" s="43">
      <c r="A18" s="11" t="inlineStr">
        <is>
          <t>T14</t>
        </is>
      </c>
      <c r="B18" s="11" t="n">
        <v>4</v>
      </c>
      <c r="C18" s="23">
        <f>IF('Tổng quan'!$B$4="","",'Tổng quan'!$B$4+(B18-1)*7)</f>
        <v/>
      </c>
      <c r="D18" s="23">
        <f>IF('Tổng quan'!$B$4="","",C18+6)</f>
        <v/>
      </c>
      <c r="E18" s="11" t="inlineStr">
        <is>
          <t>GĐ1</t>
        </is>
      </c>
      <c r="F18" s="12" t="inlineStr">
        <is>
          <t>Gộp ERD tổng, thống nhất ký hiệu, kiểm tra cardinality/participation, thực thể yếu</t>
        </is>
      </c>
      <c r="G18" s="11" t="inlineStr">
        <is>
          <t>Hữu Khoa</t>
        </is>
      </c>
      <c r="H18" s="11" t="inlineStr">
        <is>
          <t>Cả nhóm</t>
        </is>
      </c>
      <c r="I18" s="12" t="inlineStr">
        <is>
          <t>ERD tổng hoàn chỉnh</t>
        </is>
      </c>
      <c r="J18" s="20" t="inlineStr">
        <is>
          <t>Hoàn thành</t>
        </is>
      </c>
      <c r="K18" s="21" t="n">
        <v>1</v>
      </c>
      <c r="L18" s="22" t="inlineStr">
        <is>
          <t>erd/ERD_tong.drawio, erd/ERD_tong.png – Khôi gộp 19/10: 16 thực thể, 2 phân lớp, 15 liên kết, ký hiệu Chen/Elmasri thống nhất; chỉ vẽ khóa và thuộc tính liên kết; chờ Hữu Khoa review Cập nhật 28/10 theo T30 C5: thêm GHI_KHÁM, GHI_ĐƠN (19 liên kết).</t>
        </is>
      </c>
    </row>
    <row r="19" ht="28" customHeight="1" s="43">
      <c r="A19" s="11" t="inlineStr">
        <is>
          <t>T15</t>
        </is>
      </c>
      <c r="B19" s="11" t="n">
        <v>4</v>
      </c>
      <c r="C19" s="23">
        <f>IF('Tổng quan'!$B$4="","",'Tổng quan'!$B$4+(B19-1)*7)</f>
        <v/>
      </c>
      <c r="D19" s="23">
        <f>IF('Tổng quan'!$B$4="","",C19+6)</f>
        <v/>
      </c>
      <c r="E19" s="11" t="inlineStr">
        <is>
          <t>GĐ1</t>
        </is>
      </c>
      <c r="F19" s="12" t="inlineStr">
        <is>
          <t>Lập ma trận truy vết BR → thành phần ERD (BR nào chưa thể hiện được thì ghi rõ cách xử lý)</t>
        </is>
      </c>
      <c r="G19" s="11" t="inlineStr">
        <is>
          <t>Đăng Khoa</t>
        </is>
      </c>
      <c r="H19" s="11" t="inlineStr">
        <is>
          <t>Hữu Khoa</t>
        </is>
      </c>
      <c r="I19" s="12" t="inlineStr">
        <is>
          <t>Bảng truy vết BR–ERD</t>
        </is>
      </c>
      <c r="J19" s="20" t="inlineStr">
        <is>
          <t>Hoàn thành</t>
        </is>
      </c>
      <c r="K19" s="21" t="n">
        <v>1</v>
      </c>
      <c r="L19" s="22" t="inlineStr">
        <is>
          <t>docs/traceability/T15_Traceability.md – truy vết hai chiều A, B, C theo ISO/IEC/IEEE 29148 (19/10); chờ Hữu Khoa review Cập nhật 28/10 theo T30 C5: thêm GHI_KHÁM, GHI_ĐƠN.</t>
        </is>
      </c>
    </row>
    <row r="20" ht="28" customHeight="1" s="43">
      <c r="A20" s="11" t="inlineStr">
        <is>
          <t>T16</t>
        </is>
      </c>
      <c r="B20" s="11" t="n">
        <v>4</v>
      </c>
      <c r="C20" s="23">
        <f>IF('Tổng quan'!$B$4="","",'Tổng quan'!$B$4+(B20-1)*7)</f>
        <v/>
      </c>
      <c r="D20" s="23">
        <f>IF('Tổng quan'!$B$4="","",C20+6)</f>
        <v/>
      </c>
      <c r="E20" s="11" t="inlineStr">
        <is>
          <t>GĐ1</t>
        </is>
      </c>
      <c r="F20" s="12" t="inlineStr">
        <is>
          <t>Viết mục 2.1 Mô hình khái niệm (mỗi người mô tả mảng mình, Hữu Khoa gộp)</t>
        </is>
      </c>
      <c r="G20" s="11" t="inlineStr">
        <is>
          <t>Hữu Khoa</t>
        </is>
      </c>
      <c r="H20" s="11" t="inlineStr">
        <is>
          <t>Khôi</t>
        </is>
      </c>
      <c r="I20" s="12" t="inlineStr">
        <is>
          <t>Báo cáo mục 2.1</t>
        </is>
      </c>
      <c r="J20" s="20" t="inlineStr">
        <is>
          <t>Hoàn thành</t>
        </is>
      </c>
      <c r="K20" s="21" t="n">
        <v>1</v>
      </c>
      <c r="L20" s="22" t="inlineStr">
        <is>
          <t>Báo cáo v2.1 mục 2.1 đủ A, B, C: thực thể, liên kết, phân lớp, hình 2.1 (ERD tổng) và 2.1a–c, truy vết, giả định; chờ Khôi review</t>
        </is>
      </c>
    </row>
    <row r="21" ht="70" customHeight="1" s="43">
      <c r="A21" s="11" t="inlineStr">
        <is>
          <t>T17</t>
        </is>
      </c>
      <c r="B21" s="11" t="n">
        <v>4</v>
      </c>
      <c r="C21" s="23">
        <f>IF('Tổng quan'!$B$4="","",'Tổng quan'!$B$4+(B21-1)*7)</f>
        <v/>
      </c>
      <c r="D21" s="23">
        <f>IF('Tổng quan'!$B$4="","",C21+6)</f>
        <v/>
      </c>
      <c r="E21" s="11" t="inlineStr">
        <is>
          <t>GĐ1</t>
        </is>
      </c>
      <c r="F21" s="12" t="inlineStr">
        <is>
          <t>Review, nộp báo cáo v2.1 + báo cáo tiến độ</t>
        </is>
      </c>
      <c r="G21" s="11" t="inlineStr">
        <is>
          <t>Khôi</t>
        </is>
      </c>
      <c r="H21" s="11" t="inlineStr">
        <is>
          <t>Cả nhóm</t>
        </is>
      </c>
      <c r="I21" s="12" t="inlineStr">
        <is>
          <t>Báo cáo v2.1</t>
        </is>
      </c>
      <c r="J21" s="20" t="inlineStr">
        <is>
          <t>Hoàn thành</t>
        </is>
      </c>
      <c r="K21" s="21" t="n">
        <v>1</v>
      </c>
      <c r="L21" s="22" t="inlineStr">
        <is>
          <t>docs/INT1313_TX_G5_DeTai05_Telemedicine_v2.1.docx – mục Giới thiệu tóm tắt, 1, 1.2, 2, 2.1 hoàn chỉnh, có ERD tổng; đã nộp 21/10/2026</t>
        </is>
      </c>
    </row>
    <row r="22" ht="28" customHeight="1" s="43">
      <c r="A22" s="13" t="inlineStr">
        <is>
          <t>T18</t>
        </is>
      </c>
      <c r="B22" s="13" t="n">
        <v>5</v>
      </c>
      <c r="C22" s="24">
        <f>IF('Tổng quan'!$B$4="","",'Tổng quan'!$B$4+(B22-1)*7)</f>
        <v/>
      </c>
      <c r="D22" s="24">
        <f>IF('Tổng quan'!$B$4="","",C22+6)</f>
        <v/>
      </c>
      <c r="E22" s="13" t="inlineStr">
        <is>
          <t>GĐ2</t>
        </is>
      </c>
      <c r="F22" s="14" t="inlineStr">
        <is>
          <t>Chốt quy ước đặt tên bảng/cột, kiểu dữ liệu chung (mã, tiền, ngày giờ, trạng thái)</t>
        </is>
      </c>
      <c r="G22" s="13" t="inlineStr">
        <is>
          <t>Hữu Khoa</t>
        </is>
      </c>
      <c r="H22" s="13" t="inlineStr">
        <is>
          <t>Cả nhóm</t>
        </is>
      </c>
      <c r="I22" s="14" t="inlineStr">
        <is>
          <t>Tài liệu quy ước</t>
        </is>
      </c>
      <c r="J22" s="20" t="inlineStr">
        <is>
          <t>Hoàn thành</t>
        </is>
      </c>
      <c r="K22" s="21" t="n">
        <v>1</v>
      </c>
      <c r="L22" s="22" t="inlineStr">
        <is>
          <t>docs/6_chuan-hoa/T18_QuyUocDuLieu.md – snake_case; ràng buộc mức bảng đặt tên pk_/fk_/uq_/ck_/ex_, ràng buộc một cột để tên mặc định PostgreSQL, chỉ mục idx_ (T30 L13, 28/10); khóa INTEGER identity, tiền NUMERIC(12,0), TIMESTAMP, khoảng nửa mở [bd, kt); miền loai_nv, loai_bac_si, trạng thái ca DA_XEP/HUY (T30 C3 đã chốt). B_schema, C_schema khớp. Chờ cả nhóm review</t>
        </is>
      </c>
    </row>
    <row r="23" ht="28" customHeight="1" s="43">
      <c r="A23" s="13" t="inlineStr">
        <is>
          <t>T19</t>
        </is>
      </c>
      <c r="B23" s="13" t="n">
        <v>5</v>
      </c>
      <c r="C23" s="24">
        <f>IF('Tổng quan'!$B$4="","",'Tổng quan'!$B$4+(B23-1)*7)</f>
        <v/>
      </c>
      <c r="D23" s="24">
        <f>IF('Tổng quan'!$B$4="","",C23+6)</f>
        <v/>
      </c>
      <c r="E23" s="13" t="inlineStr">
        <is>
          <t>GĐ2</t>
        </is>
      </c>
      <c r="F23" s="14" t="inlineStr">
        <is>
          <t>Ánh xạ mảng A (thuật toán Elmasri bước 1–7) + chọn phương án bước 8 (8A/8B/8C/8D) cho phân lớp, có lý giải</t>
        </is>
      </c>
      <c r="G23" s="13" t="inlineStr">
        <is>
          <t>Hữu Khoa</t>
        </is>
      </c>
      <c r="H23" s="13" t="inlineStr">
        <is>
          <t>Đăng Khoa</t>
        </is>
      </c>
      <c r="I23" s="14" t="inlineStr">
        <is>
          <t>Lược đồ quan hệ mảng A</t>
        </is>
      </c>
      <c r="J23" s="20" t="inlineStr">
        <is>
          <t>Hoàn thành</t>
        </is>
      </c>
      <c r="K23" s="21" t="n">
        <v>1</v>
      </c>
      <c r="L23" s="22" t="inlineStr">
        <is>
          <t>docs/5_anh-xa/T19_AnhXa_MangA.md – 6 bảng; 8A cho NHAN_VIEN → BAC_SI (partial) và BAC_SI → {ĐA_KHOA, CHUYÊN_KHOA} (disjoint, total), có lý giải (T30 C2 đã chốt); bảng BR-A01…A10 → cơ chế; bảng hành động tham chiếu (T30 L09, 28/10). Báo cáo v2.2 đã có 2.2.3 (lý do 8A); 2.2.2, 2.2.4, 2.2.5 phần A, Hình 2.2 đã có trong báo cáo v2.2 (28/10). Chờ Đăng Khoa review</t>
        </is>
      </c>
    </row>
    <row r="24" ht="126" customHeight="1" s="43">
      <c r="A24" s="13" t="inlineStr">
        <is>
          <t>T20</t>
        </is>
      </c>
      <c r="B24" s="13" t="n">
        <v>5</v>
      </c>
      <c r="C24" s="24">
        <f>IF('Tổng quan'!$B$4="","",'Tổng quan'!$B$4+(B24-1)*7)</f>
        <v/>
      </c>
      <c r="D24" s="24">
        <f>IF('Tổng quan'!$B$4="","",C24+6)</f>
        <v/>
      </c>
      <c r="E24" s="13" t="inlineStr">
        <is>
          <t>GĐ2</t>
        </is>
      </c>
      <c r="F24" s="14" t="inlineStr">
        <is>
          <t>Ánh xạ mảng B sang lược đồ quan hệ, xác định PK/FK</t>
        </is>
      </c>
      <c r="G24" s="13" t="inlineStr">
        <is>
          <t>Khôi</t>
        </is>
      </c>
      <c r="H24" s="13" t="inlineStr">
        <is>
          <t>Hữu Khoa</t>
        </is>
      </c>
      <c r="I24" s="14" t="inlineStr">
        <is>
          <t>Lược đồ quan hệ mảng B</t>
        </is>
      </c>
      <c r="J24" s="20" t="inlineStr">
        <is>
          <t>Hoàn thành</t>
        </is>
      </c>
      <c r="K24" s="21" t="n">
        <v>1</v>
      </c>
      <c r="L24" s="22" t="inlineStr">
        <is>
          <t>docs/5_anh-xa/T20_AnhXa_MangB.md – 4 bảng BENH_NHAN, GIAY_CHUYEN_KHOA, LICH_HEN, TAI_KHOAN; PK/FK theo Elmasri bước 1–8, LICH_HEN chọn 8C (27/10); chờ Hữu Khoa review, xác nhận 8A cho BAC_SI (T19)</t>
        </is>
      </c>
    </row>
    <row r="25">
      <c r="A25" s="13" t="inlineStr">
        <is>
          <t>T21</t>
        </is>
      </c>
      <c r="B25" s="13" t="n">
        <v>5</v>
      </c>
      <c r="C25" s="24">
        <f>IF('Tổng quan'!$B$4="","",'Tổng quan'!$B$4+(B25-1)*7)</f>
        <v/>
      </c>
      <c r="D25" s="24">
        <f>IF('Tổng quan'!$B$4="","",C25+6)</f>
        <v/>
      </c>
      <c r="E25" s="13" t="inlineStr">
        <is>
          <t>GĐ2</t>
        </is>
      </c>
      <c r="F25" s="14" t="inlineStr">
        <is>
          <t>Ánh xạ mảng C sang lược đồ quan hệ, xác định PK/FK</t>
        </is>
      </c>
      <c r="G25" s="13" t="inlineStr">
        <is>
          <t>Đăng Khoa</t>
        </is>
      </c>
      <c r="H25" s="13" t="inlineStr">
        <is>
          <t>Khôi</t>
        </is>
      </c>
      <c r="I25" s="14" t="inlineStr">
        <is>
          <t>Lược đồ quan hệ mảng C</t>
        </is>
      </c>
      <c r="J25" s="20" t="inlineStr">
        <is>
          <t>Hoàn thành</t>
        </is>
      </c>
      <c r="K25" s="21" t="n">
        <v>1</v>
      </c>
      <c r="L25" s="22" t="inlineStr">
        <is>
          <t>docs/5_anh-xa/T21_AnhXa_MangC.md – 9 bảng; LAN_KHAM.ma_lh UNIQUE NOT NULL (PHÁT_SINH 1:1), không lưu ma_bn/ma_bac_si; 3 bảng kết hợp CHI_TIET_DON_THUOC, THUOC_HOAT_CHAT, DI_UNG; bảng BR-C01…C06 → cơ chế. ten_hoat_chat UNIQUE NOT NULL (T30 L08, 28/10). created_by ánh xạ liên kết GHI_KHÁM, GHI_ĐƠN (T30 C5, ERD C đã vẽ). Báo cáo 2.2 phần C đã điền (T31, 28/10). Chờ Khôi review</t>
        </is>
      </c>
    </row>
    <row r="26" ht="28" customHeight="1" s="43">
      <c r="A26" s="13" t="inlineStr">
        <is>
          <t>T22</t>
        </is>
      </c>
      <c r="B26" s="13" t="n">
        <v>6</v>
      </c>
      <c r="C26" s="24">
        <f>IF('Tổng quan'!$B$4="","",'Tổng quan'!$B$4+(B26-1)*7)</f>
        <v/>
      </c>
      <c r="D26" s="24">
        <f>IF('Tổng quan'!$B$4="","",C26+6)</f>
        <v/>
      </c>
      <c r="E26" s="13" t="inlineStr">
        <is>
          <t>GĐ2</t>
        </is>
      </c>
      <c r="F26" s="14" t="inlineStr">
        <is>
          <t>Chuẩn bị khuôn trình bày chứng minh chuẩn hóa (FD, khóa, 1NF→2NF→3NF→BCNF)</t>
        </is>
      </c>
      <c r="G26" s="13" t="inlineStr">
        <is>
          <t>Đăng Khoa</t>
        </is>
      </c>
      <c r="H26" s="13" t="inlineStr">
        <is>
          <t>Khôi</t>
        </is>
      </c>
      <c r="I26" s="14" t="inlineStr">
        <is>
          <t>Mẫu chứng minh</t>
        </is>
      </c>
      <c r="J26" s="20" t="inlineStr">
        <is>
          <t>Hoàn thành</t>
        </is>
      </c>
      <c r="K26" s="21" t="n">
        <v>1</v>
      </c>
      <c r="L26" s="22" t="inlineStr">
        <is>
          <t>docs/6_chuan-hoa/T22_Khuon_ChuanHoa.md – khuôn 7 bước cho mỗi quan hệ; cách trình bày FD có điều kiện (UNIQUE cho phép NULL) chung 3 mảng (T30 C4); T24, T27 đã dùng đúng quy ước. Chờ Khôi review</t>
        </is>
      </c>
    </row>
    <row r="27">
      <c r="A27" s="13" t="inlineStr">
        <is>
          <t>T23</t>
        </is>
      </c>
      <c r="B27" s="13" t="n">
        <v>6</v>
      </c>
      <c r="C27" s="24">
        <f>IF('Tổng quan'!$B$4="","",'Tổng quan'!$B$4+(B27-1)*7)</f>
        <v/>
      </c>
      <c r="D27" s="24">
        <f>IF('Tổng quan'!$B$4="","",C27+6)</f>
        <v/>
      </c>
      <c r="E27" s="13" t="inlineStr">
        <is>
          <t>GĐ2</t>
        </is>
      </c>
      <c r="F27" s="14" t="inlineStr">
        <is>
          <t>Liệt kê phụ thuộc hàm (FD) và khóa ứng viên cho các bảng mảng A</t>
        </is>
      </c>
      <c r="G27" s="13" t="inlineStr">
        <is>
          <t>Hữu Khoa</t>
        </is>
      </c>
      <c r="H27" s="13" t="inlineStr">
        <is>
          <t>Đăng Khoa</t>
        </is>
      </c>
      <c r="I27" s="14" t="inlineStr">
        <is>
          <t>FD mảng A</t>
        </is>
      </c>
      <c r="J27" s="20" t="inlineStr">
        <is>
          <t>Hoàn thành</t>
        </is>
      </c>
      <c r="K27" s="21" t="n">
        <v>1</v>
      </c>
      <c r="L27" s="22" t="inlineStr">
        <is>
          <t>docs/6_chuan-hoa/T23_FD_MangA.md – FD, bao đóng, khóa ứng viên 6 bảng: NHAN_VIEN {ma_nv}, {sdt}; BAC_SI {ma_bac_si}, {so_chung_chi}; CHUYEN_KHOA {ma_chuyen_khoa}, {ten_chuyen_khoa}; các cột UNIQUE đều NOT NULL nên không có FD có điều kiện. Chờ Đăng Khoa review</t>
        </is>
      </c>
    </row>
    <row r="28" ht="98" customHeight="1" s="43">
      <c r="A28" s="13" t="inlineStr">
        <is>
          <t>T24</t>
        </is>
      </c>
      <c r="B28" s="13" t="n">
        <v>6</v>
      </c>
      <c r="C28" s="24">
        <f>IF('Tổng quan'!$B$4="","",'Tổng quan'!$B$4+(B28-1)*7)</f>
        <v/>
      </c>
      <c r="D28" s="24">
        <f>IF('Tổng quan'!$B$4="","",C28+6)</f>
        <v/>
      </c>
      <c r="E28" s="13" t="inlineStr">
        <is>
          <t>GĐ2</t>
        </is>
      </c>
      <c r="F28" s="14" t="inlineStr">
        <is>
          <t>Liệt kê FD và khóa ứng viên cho các bảng mảng B</t>
        </is>
      </c>
      <c r="G28" s="13" t="inlineStr">
        <is>
          <t>Khôi</t>
        </is>
      </c>
      <c r="H28" s="13" t="inlineStr">
        <is>
          <t>Đăng Khoa</t>
        </is>
      </c>
      <c r="I28" s="14" t="inlineStr">
        <is>
          <t>FD mảng B</t>
        </is>
      </c>
      <c r="J28" s="20" t="inlineStr">
        <is>
          <t>Hoàn thành</t>
        </is>
      </c>
      <c r="K28" s="21" t="n">
        <v>1</v>
      </c>
      <c r="L28" s="22" t="inlineStr">
        <is>
          <t>docs/6_chuan-hoa/T24_FD_MangB.md – FD (phủ tối thiểu), FD đã loại kèm lý do, khóa ứng viên 4 bảng; BENH_NHAN có 2 khóa {ma_bn}, {sdt} (27/10); chờ Đăng Khoa review</t>
        </is>
      </c>
    </row>
    <row r="29">
      <c r="A29" s="13" t="inlineStr">
        <is>
          <t>T25</t>
        </is>
      </c>
      <c r="B29" s="13" t="n">
        <v>6</v>
      </c>
      <c r="C29" s="24">
        <f>IF('Tổng quan'!$B$4="","",'Tổng quan'!$B$4+(B29-1)*7)</f>
        <v/>
      </c>
      <c r="D29" s="24">
        <f>IF('Tổng quan'!$B$4="","",C29+6)</f>
        <v/>
      </c>
      <c r="E29" s="13" t="inlineStr">
        <is>
          <t>GĐ2</t>
        </is>
      </c>
      <c r="F29" s="14" t="inlineStr">
        <is>
          <t>Liệt kê FD và khóa ứng viên cho các bảng mảng C</t>
        </is>
      </c>
      <c r="G29" s="13" t="inlineStr">
        <is>
          <t>Đăng Khoa</t>
        </is>
      </c>
      <c r="H29" s="13" t="inlineStr">
        <is>
          <t>Hữu Khoa</t>
        </is>
      </c>
      <c r="I29" s="14" t="inlineStr">
        <is>
          <t>FD mảng C</t>
        </is>
      </c>
      <c r="J29" s="20" t="inlineStr">
        <is>
          <t>Hoàn thành</t>
        </is>
      </c>
      <c r="K29" s="21" t="n">
        <v>1</v>
      </c>
      <c r="L29" s="22" t="inlineStr">
        <is>
          <t>docs/6_chuan-hoa/T25_FD_MangC.md – phủ tối thiểu, khóa ứng viên 9 bảng; LAN_KHAM có 2 khóa {ma_lan_kham}, {ma_lh}; HOAT_CHAT có 2 khóa {ma_hoat_chat}, {ten_hoat_chat} (T30 L08, 28/10); 3 bảng kết hợp khóa ghép; ghi các FD không giả định. Chờ Hữu Khoa review</t>
        </is>
      </c>
    </row>
    <row r="30">
      <c r="A30" s="13" t="inlineStr">
        <is>
          <t>T26</t>
        </is>
      </c>
      <c r="B30" s="13" t="n">
        <v>7</v>
      </c>
      <c r="C30" s="24">
        <f>IF('Tổng quan'!$B$4="","",'Tổng quan'!$B$4+(B30-1)*7)</f>
        <v/>
      </c>
      <c r="D30" s="24">
        <f>IF('Tổng quan'!$B$4="","",C30+6)</f>
        <v/>
      </c>
      <c r="E30" s="13" t="inlineStr">
        <is>
          <t>GĐ2</t>
        </is>
      </c>
      <c r="F30" s="14" t="inlineStr">
        <is>
          <t>Chứng minh 3NF/BCNF mảng A, tách bảng nếu vi phạm</t>
        </is>
      </c>
      <c r="G30" s="13" t="inlineStr">
        <is>
          <t>Hữu Khoa</t>
        </is>
      </c>
      <c r="H30" s="13" t="inlineStr">
        <is>
          <t>Đăng Khoa</t>
        </is>
      </c>
      <c r="I30" s="14" t="inlineStr">
        <is>
          <t>Mục 2.3 – phần A</t>
        </is>
      </c>
      <c r="J30" s="20" t="inlineStr">
        <is>
          <t>Hoàn thành</t>
        </is>
      </c>
      <c r="K30" s="21" t="n">
        <v>1</v>
      </c>
      <c r="L30" s="22" t="inlineStr">
        <is>
          <t>docs/6_chuan-hoa/T26_ChuanHoa_MangA.md – 6 bảng đạt BCNF, không tách; đã vào báo cáo v2.2 mục 2.3.3 phần A. Chờ Đăng Khoa review</t>
        </is>
      </c>
    </row>
    <row r="31" ht="98" customHeight="1" s="43">
      <c r="A31" s="13" t="inlineStr">
        <is>
          <t>T27</t>
        </is>
      </c>
      <c r="B31" s="13" t="n">
        <v>7</v>
      </c>
      <c r="C31" s="24">
        <f>IF('Tổng quan'!$B$4="","",'Tổng quan'!$B$4+(B31-1)*7)</f>
        <v/>
      </c>
      <c r="D31" s="24">
        <f>IF('Tổng quan'!$B$4="","",C31+6)</f>
        <v/>
      </c>
      <c r="E31" s="13" t="inlineStr">
        <is>
          <t>GĐ2</t>
        </is>
      </c>
      <c r="F31" s="14" t="inlineStr">
        <is>
          <t>Chứng minh 3NF/BCNF mảng B, tách bảng nếu vi phạm</t>
        </is>
      </c>
      <c r="G31" s="13" t="inlineStr">
        <is>
          <t>Khôi</t>
        </is>
      </c>
      <c r="H31" s="13" t="inlineStr">
        <is>
          <t>Đăng Khoa</t>
        </is>
      </c>
      <c r="I31" s="14" t="inlineStr">
        <is>
          <t>Mục 2.3 – phần B</t>
        </is>
      </c>
      <c r="J31" s="20" t="inlineStr">
        <is>
          <t>Hoàn thành</t>
        </is>
      </c>
      <c r="K31" s="21" t="n">
        <v>1</v>
      </c>
      <c r="L31" s="22" t="inlineStr">
        <is>
          <t>docs/6_chuan-hoa/T27_ChuanHoa_MangB.md – 4 bảng đạt BCNF, không tách; lập luận riêng cho FD có điều kiện (cột UNIQUE cho phép NULL); vai_tro trùng loai_nv chuyển T30 (27/10); chờ Đăng Khoa review</t>
        </is>
      </c>
    </row>
    <row r="32">
      <c r="A32" s="13" t="inlineStr">
        <is>
          <t>T28</t>
        </is>
      </c>
      <c r="B32" s="13" t="n">
        <v>7</v>
      </c>
      <c r="C32" s="24">
        <f>IF('Tổng quan'!$B$4="","",'Tổng quan'!$B$4+(B32-1)*7)</f>
        <v/>
      </c>
      <c r="D32" s="24">
        <f>IF('Tổng quan'!$B$4="","",C32+6)</f>
        <v/>
      </c>
      <c r="E32" s="13" t="inlineStr">
        <is>
          <t>GĐ2</t>
        </is>
      </c>
      <c r="F32" s="14" t="inlineStr">
        <is>
          <t>Chứng minh 3NF/BCNF mảng C, tách bảng nếu vi phạm</t>
        </is>
      </c>
      <c r="G32" s="13" t="inlineStr">
        <is>
          <t>Đăng Khoa</t>
        </is>
      </c>
      <c r="H32" s="13" t="inlineStr">
        <is>
          <t>Hữu Khoa</t>
        </is>
      </c>
      <c r="I32" s="14" t="inlineStr">
        <is>
          <t>Mục 2.3 – phần C</t>
        </is>
      </c>
      <c r="J32" s="20" t="inlineStr">
        <is>
          <t>Hoàn thành</t>
        </is>
      </c>
      <c r="K32" s="21" t="n">
        <v>1</v>
      </c>
      <c r="L32" s="22" t="inlineStr">
        <is>
          <t>docs/6_chuan-hoa/T28_ChuanHoa_MangC.md – 9 bảng đạt BCNF, không tách (HOAT_CHAT có 2 khóa ứng viên, T30 L08); ghi các dư thừa đã tránh. Báo cáo mục 2.3.2–2.3.4 phần C đã điền (T31, 28/10). Chờ Hữu Khoa review</t>
        </is>
      </c>
    </row>
    <row r="33" ht="28" customHeight="1" s="43">
      <c r="A33" s="13" t="inlineStr">
        <is>
          <t>T29</t>
        </is>
      </c>
      <c r="B33" s="13" t="n">
        <v>7</v>
      </c>
      <c r="C33" s="24">
        <f>IF('Tổng quan'!$B$4="","",'Tổng quan'!$B$4+(B33-1)*7)</f>
        <v/>
      </c>
      <c r="D33" s="24">
        <f>IF('Tổng quan'!$B$4="","",C33+6)</f>
        <v/>
      </c>
      <c r="E33" s="13" t="inlineStr">
        <is>
          <t>GĐ2</t>
        </is>
      </c>
      <c r="F33" s="14" t="inlineStr">
        <is>
          <t>Từ điển dữ liệu (mục 3, theo ISO/IEC 11179): mỗi người điền bảng của mình, Hữu Khoa gộp</t>
        </is>
      </c>
      <c r="G33" s="13" t="inlineStr">
        <is>
          <t>Hữu Khoa</t>
        </is>
      </c>
      <c r="H33" s="13" t="inlineStr">
        <is>
          <t>Cả nhóm</t>
        </is>
      </c>
      <c r="I33" s="14" t="inlineStr">
        <is>
          <t>Mục 3</t>
        </is>
      </c>
      <c r="J33" s="20" t="inlineStr">
        <is>
          <t>Hoàn thành</t>
        </is>
      </c>
      <c r="K33" s="21" t="n">
        <v>1</v>
      </c>
      <c r="L33" s="22" t="inlineStr">
        <is>
          <t>Báo cáo v2.2 mục 3 (28/10, Khôi gộp): danh sách 19 bảng A, B, C; mô tả chi tiết từng bảng cùng khuôn (Kiểu, Null, Khóa, Mặc định, Ràng buộc kèm BR, Mô tả) theo A/B/C_schema.sql và trigger; 9 miền giá trị (thêm trang_thai_ho_so). Viết lại 6 bảng A bị lệch cột (T30 L07); nguồn A: docs/6_chuan-hoa/T29_TuDienDuLieu_MangA.md. Chờ Hữu Khoa, Đăng Khoa xác nhận phần mình</t>
        </is>
      </c>
    </row>
    <row r="34" ht="28" customHeight="1" s="43">
      <c r="A34" s="13" t="inlineStr">
        <is>
          <t>T30</t>
        </is>
      </c>
      <c r="B34" s="13" t="n">
        <v>8</v>
      </c>
      <c r="C34" s="24">
        <f>IF('Tổng quan'!$B$4="","",'Tổng quan'!$B$4+(B34-1)*7)</f>
        <v/>
      </c>
      <c r="D34" s="24">
        <f>IF('Tổng quan'!$B$4="","",C34+6)</f>
        <v/>
      </c>
      <c r="E34" s="13" t="inlineStr">
        <is>
          <t>GĐ2</t>
        </is>
      </c>
      <c r="F34" s="14" t="inlineStr">
        <is>
          <t>Review chéo toàn bộ mục 2.2, 2.3, 3; sửa ERD nếu chuẩn hóa làm thay đổi thiết kế</t>
        </is>
      </c>
      <c r="G34" s="13" t="inlineStr">
        <is>
          <t>Đăng Khoa</t>
        </is>
      </c>
      <c r="H34" s="13" t="inlineStr">
        <is>
          <t>Cả nhóm</t>
        </is>
      </c>
      <c r="I34" s="14" t="inlineStr">
        <is>
          <t>Danh sách lỗi đã sửa</t>
        </is>
      </c>
      <c r="J34" s="20" t="inlineStr">
        <is>
          <t>Hoàn thành</t>
        </is>
      </c>
      <c r="K34" s="21" t="n">
        <v>1</v>
      </c>
      <c r="L34" s="22" t="inlineStr">
        <is>
          <t>docs/6_chuan-hoa/T30_ReviewCheo.md – review chéo đủ 3 mảng (28/10): B do Đăng Khoa (49/49 tests_B), A, C và mục 3 do Khôi. A, C: lược đồ ↔ ERD 10/10, 15/15; khớp DDL; chuẩn hóa không đổi thiết kế, ERD A, C không sửa. Chạy với A_schema chính thức + dữ liệu thử A, B: 13 ca vi phạm A bị chặn, C_seed chạy, tests_C 13/13, queries A, C có kết quả. Lỗi: L07, L08 (khóa ứng viên ten_hoat_chat ở T21, T25, T28), L09 (bỏ ON UPDATE CASCADE mảng A, ghi T19, 2.2.5), L10 (ghi diễn giải BR-A03, A08 vào T07; sửa mã lỗi BR-A02), L11 (trigger thiếu quyền dưới role, SECURITY DEFINER), L12 (ghi diễn giải trigger C vào T09), L13 (quy ước tên ràng buộc ở T18), L14 (tham số Q4 mảng A) đã sửa; L01–L14 đóng hết. C1 chốt (a): giữ vai_tro, bỏ "đổi vai trò" khỏi BR-B10, trigger chặn đổi loại nhân viên đã có tài khoản; C5 chốt (a): ERD C, ERD tổng vẽ GHI_KHÁM, GHI_ĐƠN (28/10). Đóng T30 ngày 28/10.</t>
        </is>
      </c>
    </row>
    <row r="35" ht="154" customHeight="1" s="43">
      <c r="A35" s="13" t="inlineStr">
        <is>
          <t>T31</t>
        </is>
      </c>
      <c r="B35" s="13" t="n">
        <v>8</v>
      </c>
      <c r="C35" s="24">
        <f>IF('Tổng quan'!$B$4="","",'Tổng quan'!$B$4+(B35-1)*7)</f>
        <v/>
      </c>
      <c r="D35" s="24">
        <f>IF('Tổng quan'!$B$4="","",C35+6)</f>
        <v/>
      </c>
      <c r="E35" s="13" t="inlineStr">
        <is>
          <t>GĐ2</t>
        </is>
      </c>
      <c r="F35" s="14" t="inlineStr">
        <is>
          <t>Hoàn thiện, nộp báo cáo v2.2 + báo cáo tiến độ</t>
        </is>
      </c>
      <c r="G35" s="13" t="inlineStr">
        <is>
          <t>Khôi</t>
        </is>
      </c>
      <c r="H35" s="13" t="inlineStr">
        <is>
          <t>Cả nhóm</t>
        </is>
      </c>
      <c r="I35" s="14" t="inlineStr">
        <is>
          <t>Báo cáo v2.2</t>
        </is>
      </c>
      <c r="J35" s="20" t="inlineStr">
        <is>
          <t>Hoàn thành</t>
        </is>
      </c>
      <c r="K35" s="21" t="n">
        <v>1</v>
      </c>
      <c r="L35" s="22" t="inlineStr">
        <is>
          <t>docs/INT1313_TX_G5_DeTai05_Telemedicine_v2.2.docx – nộp 28/10/2026. Mục 2.2, 2.3, 3 đủ A, B, C: 2.2.2 thêm bước ánh xạ C; 2.2.4 viết lại 19 quan hệ theo A, B, C (khóa chính gạch chân), Hình 2.2 lược đồ quan hệ (docs/3_erd/LuocDo_QuanHe.dot, .png, Graphviz); 2.2.5 thêm 12 khóa ngoại C; 2.3.2 thêm 9 quan hệ C, 2.3.3 chứng minh C, 2.3.4 kết luận A, C; bỏ chữ xám ở 2.2, 2.3, 3; đã review chéo T30</t>
        </is>
      </c>
    </row>
    <row r="36">
      <c r="A36" s="15" t="inlineStr">
        <is>
          <t>T32</t>
        </is>
      </c>
      <c r="B36" s="15" t="n">
        <v>9</v>
      </c>
      <c r="C36" s="25">
        <f>IF('Tổng quan'!$B$4="","",'Tổng quan'!$B$4+(B36-1)*7)</f>
        <v/>
      </c>
      <c r="D36" s="25">
        <f>IF('Tổng quan'!$B$4="","",C36+6)</f>
        <v/>
      </c>
      <c r="E36" s="15" t="inlineStr">
        <is>
          <t>GĐ3</t>
        </is>
      </c>
      <c r="F36" s="16" t="inlineStr">
        <is>
          <t>DDL mảng A: bảng, PK/FK, NOT NULL, CHECK, UNIQUE, index</t>
        </is>
      </c>
      <c r="G36" s="15" t="inlineStr">
        <is>
          <t>Hữu Khoa</t>
        </is>
      </c>
      <c r="H36" s="15" t="inlineStr">
        <is>
          <t>Đăng Khoa</t>
        </is>
      </c>
      <c r="I36" s="16" t="inlineStr">
        <is>
          <t>sql/A_schema.sql</t>
        </is>
      </c>
      <c r="J36" s="20" t="inlineStr">
        <is>
          <t>Hoàn thành</t>
        </is>
      </c>
      <c r="K36" s="21" t="n">
        <v>1</v>
      </c>
      <c r="L36" s="22" t="inlineStr">
        <is>
          <t>sql/A_schema.sql – 6 bảng theo 8A; FK RESTRICT, lớp con ON DELETE CASCADE, không ON UPDATE CASCADE (T30 L09, 28/10); CHECK sdt, email, ngày sinh, ngày cấp &lt; hết hạn (BR-A07), thời gian ca (BR-A06); UNIQUE so_chung_chi (BR-A05), ten_chuyen_khoa, sdt; EXCLUDE gist ex_ca_lam_viec_bac_si chỉ trên ca DA_XEP (BR-A04); 2 index. Chạy cùng B, C trên PG16 không lỗi (28/10). Chờ Đăng Khoa review</t>
        </is>
      </c>
    </row>
    <row r="37" ht="140" customHeight="1" s="43">
      <c r="A37" s="15" t="inlineStr">
        <is>
          <t>T33</t>
        </is>
      </c>
      <c r="B37" s="15" t="n">
        <v>9</v>
      </c>
      <c r="C37" s="25">
        <f>IF('Tổng quan'!$B$4="","",'Tổng quan'!$B$4+(B37-1)*7)</f>
        <v/>
      </c>
      <c r="D37" s="25">
        <f>IF('Tổng quan'!$B$4="","",C37+6)</f>
        <v/>
      </c>
      <c r="E37" s="15" t="inlineStr">
        <is>
          <t>GĐ3</t>
        </is>
      </c>
      <c r="F37" s="16" t="inlineStr">
        <is>
          <t>DDL mảng B: bảng, ràng buộc, index (kể cả chống trùng lịch hẹn)</t>
        </is>
      </c>
      <c r="G37" s="15" t="inlineStr">
        <is>
          <t>Khôi</t>
        </is>
      </c>
      <c r="H37" s="15" t="inlineStr">
        <is>
          <t>Hữu Khoa</t>
        </is>
      </c>
      <c r="I37" s="16" t="inlineStr">
        <is>
          <t>sql/B_schema.sql</t>
        </is>
      </c>
      <c r="J37" s="20" t="inlineStr">
        <is>
          <t>Hoàn thành</t>
        </is>
      </c>
      <c r="K37" s="21" t="n">
        <v>1</v>
      </c>
      <c r="L37" s="22" t="inlineStr">
        <is>
          <t>sql/B_schema.sql – 4 bảng; CHECK hình thức (8C), hạn giấy 30 ngày, chủ tài khoản; FK kép (ma_giay, ma_bn) cho BR-B03; EXCLUDE gist chống trùng lịch bác sĩ, bệnh nhân (BR-B02); 4 index. Đã chạy thử trên PG16 với bảng A giả lập (27/10). Giả định khóa A kiểu INTEGER, BAC_SI theo 8A – chờ T18, T32</t>
        </is>
      </c>
    </row>
    <row r="38">
      <c r="A38" s="15" t="inlineStr">
        <is>
          <t>T34</t>
        </is>
      </c>
      <c r="B38" s="15" t="n">
        <v>9</v>
      </c>
      <c r="C38" s="25">
        <f>IF('Tổng quan'!$B$4="","",'Tổng quan'!$B$4+(B38-1)*7)</f>
        <v/>
      </c>
      <c r="D38" s="25">
        <f>IF('Tổng quan'!$B$4="","",C38+6)</f>
        <v/>
      </c>
      <c r="E38" s="15" t="inlineStr">
        <is>
          <t>GĐ3</t>
        </is>
      </c>
      <c r="F38" s="16" t="inlineStr">
        <is>
          <t>DDL mảng C: bảng, ràng buộc, index</t>
        </is>
      </c>
      <c r="G38" s="15" t="inlineStr">
        <is>
          <t>Đăng Khoa</t>
        </is>
      </c>
      <c r="H38" s="15" t="inlineStr">
        <is>
          <t>Khôi</t>
        </is>
      </c>
      <c r="I38" s="16" t="inlineStr">
        <is>
          <t>sql/C_schema.sql</t>
        </is>
      </c>
      <c r="J38" s="20" t="inlineStr">
        <is>
          <t>Hoàn thành</t>
        </is>
      </c>
      <c r="K38" s="21" t="n">
        <v>1</v>
      </c>
      <c r="L38" s="22" t="inlineStr">
        <is>
          <t>sql/C_schema.sql – 9 bảng; CHECK so_luong &gt; 0 (ck_chi_tiet_don_thuoc_so_luong), liều dùng, tóm tắt không rỗng (BR-C04); trạng thái HIEU_LUC/DA_HUY; 6 index tra cứu lịch sử. Chạy sau A, B không lỗi (28/10). Chờ Khôi review</t>
        </is>
      </c>
    </row>
    <row r="39">
      <c r="A39" s="15" t="inlineStr">
        <is>
          <t>T35</t>
        </is>
      </c>
      <c r="B39" s="15" t="n">
        <v>9</v>
      </c>
      <c r="C39" s="25">
        <f>IF('Tổng quan'!$B$4="","",'Tổng quan'!$B$4+(B39-1)*7)</f>
        <v/>
      </c>
      <c r="D39" s="25">
        <f>IF('Tổng quan'!$B$4="","",C39+6)</f>
        <v/>
      </c>
      <c r="E39" s="15" t="inlineStr">
        <is>
          <t>GĐ3</t>
        </is>
      </c>
      <c r="F39" s="16" t="inlineStr">
        <is>
          <t>Gộp script schema.sql tổng, chạy lại từ đầu không lỗi</t>
        </is>
      </c>
      <c r="G39" s="15" t="inlineStr">
        <is>
          <t>Hữu Khoa</t>
        </is>
      </c>
      <c r="H39" s="15" t="inlineStr">
        <is>
          <t>Cả nhóm</t>
        </is>
      </c>
      <c r="I39" s="16" t="inlineStr">
        <is>
          <t>sql/schema.sql</t>
        </is>
      </c>
      <c r="J39" s="20" t="inlineStr">
        <is>
          <t>Hoàn thành</t>
        </is>
      </c>
      <c r="K39" s="21" t="n">
        <v>1</v>
      </c>
      <c r="L39" s="22" t="inlineStr">
        <is>
          <t>sql/schema.sql gọi A_schema → B_schema → C_schema (28/10, Khôi làm thay Hữu Khoa). Chạy lại từ đầu theo README (createdb → schema → A/B/C_trigger_view → rbac) trên PG16.10 không lỗi: 19 bảng, 6 view, 30 trigger, 25 khóa ngoại; tests_B 50/50. README cập nhật thứ tự chạy (thêm C_trigger_view.sql). Chờ Hữu Khoa review</t>
        </is>
      </c>
    </row>
    <row r="40" ht="28" customHeight="1" s="43">
      <c r="A40" s="15" t="inlineStr">
        <is>
          <t>T36</t>
        </is>
      </c>
      <c r="B40" s="15" t="n">
        <v>9</v>
      </c>
      <c r="C40" s="25">
        <f>IF('Tổng quan'!$B$4="","",'Tổng quan'!$B$4+(B40-1)*7)</f>
        <v/>
      </c>
      <c r="D40" s="25">
        <f>IF('Tổng quan'!$B$4="","",C40+6)</f>
        <v/>
      </c>
      <c r="E40" s="15" t="inlineStr">
        <is>
          <t>GĐ3</t>
        </is>
      </c>
      <c r="F40" s="16" t="inlineStr">
        <is>
          <t>Trigger + view mảng A (vd: chặn ca làm việc chồng giờ; v_lich_truc_bac_si)</t>
        </is>
      </c>
      <c r="G40" s="15" t="inlineStr">
        <is>
          <t>Hữu Khoa</t>
        </is>
      </c>
      <c r="H40" s="15" t="inlineStr">
        <is>
          <t>Đăng Khoa</t>
        </is>
      </c>
      <c r="I40" s="16" t="inlineStr">
        <is>
          <t>sql/A_trigger_view.sql</t>
        </is>
      </c>
      <c r="J40" s="20" t="inlineStr">
        <is>
          <t>Hoàn thành</t>
        </is>
      </c>
      <c r="K40" s="21" t="n">
        <v>1</v>
      </c>
      <c r="L40" s="22" t="inlineStr">
        <is>
          <t>sql/A_trigger_view.sql – 4 constraint trigger trì hoãn trg_phan_lop_* (BR-A01, A02, A10; sửa thứ tự kiểm tra để báo đúng BR-A02, T30 L10); trg_ca_lam_viec_hop_le (BR-A03 giấy phép còn hạn, BR-A08 lịch hẹn không rơi ngoài ca); trg_giay_phep_khong_vo_hieu_ca; trg_ca_lam_viec_khong_xoa (ca có lịch chỉ được HUY); view v_lich_truc_bac_si. Chạy không lỗi (28/10); test ở sql/tests_A.sql 28/28 (T43). Chờ Đăng Khoa review</t>
        </is>
      </c>
    </row>
    <row r="41" ht="28" customHeight="1" s="43">
      <c r="A41" s="15" t="inlineStr">
        <is>
          <t>T37</t>
        </is>
      </c>
      <c r="B41" s="15" t="n">
        <v>9</v>
      </c>
      <c r="C41" s="25">
        <f>IF('Tổng quan'!$B$4="","",'Tổng quan'!$B$4+(B41-1)*7)</f>
        <v/>
      </c>
      <c r="D41" s="25">
        <f>IF('Tổng quan'!$B$4="","",C41+6)</f>
        <v/>
      </c>
      <c r="E41" s="15" t="inlineStr">
        <is>
          <t>GĐ3</t>
        </is>
      </c>
      <c r="F41" s="16" t="inlineStr">
        <is>
          <t>Trigger + view mảng B (vd: lịch hẹn phải nằm trong ca bác sĩ; v_lich_hen_hom_nay)</t>
        </is>
      </c>
      <c r="G41" s="15" t="inlineStr">
        <is>
          <t>Khôi</t>
        </is>
      </c>
      <c r="H41" s="15" t="inlineStr">
        <is>
          <t>Đăng Khoa</t>
        </is>
      </c>
      <c r="I41" s="16" t="inlineStr">
        <is>
          <t>sql/B_trigger_view.sql</t>
        </is>
      </c>
      <c r="J41" s="20" t="inlineStr">
        <is>
          <t>Hoàn thành</t>
        </is>
      </c>
      <c r="K41" s="21" t="n">
        <v>1</v>
      </c>
      <c r="L41" s="22" t="inlineStr">
        <is>
          <t>sql/B_trigger_view.sql – trg_lich_hen_hop_le (BR-B01 trong ca; BR-B03 giấy đúng chuyên khoa, còn hạn, miễn tái khám), trg_trang_thai_lich_hen (BR-B05), trg_tai_khoan_vai_tro, trg_nhan_vien_giu_vai_tro (BR-B09, thêm theo T30 C1 ngày 28/10), trg_tai_khoan_khong_xoa (BR-B10); view v_lich_hen_hom_nay. Chạy thử PG16 với bảng A giả lập: 17 ca vi phạm đều bị chặn (27/10). Giả định cột ca_lam_viec, bac_si_chuyen_khoa – chờ T32</t>
        </is>
      </c>
    </row>
    <row r="42" ht="28" customHeight="1" s="43">
      <c r="A42" s="15" t="inlineStr">
        <is>
          <t>T38</t>
        </is>
      </c>
      <c r="B42" s="15" t="n">
        <v>9</v>
      </c>
      <c r="C42" s="25">
        <f>IF('Tổng quan'!$B$4="","",'Tổng quan'!$B$4+(B42-1)*7)</f>
        <v/>
      </c>
      <c r="D42" s="25">
        <f>IF('Tổng quan'!$B$4="","",C42+6)</f>
        <v/>
      </c>
      <c r="E42" s="15" t="inlineStr">
        <is>
          <t>GĐ3</t>
        </is>
      </c>
      <c r="F42" s="16" t="inlineStr">
        <is>
          <t>Trigger + view mảng C (vd: chặn kê thuốc bệnh nhân dị ứng; v_ho_so_tom_tat)</t>
        </is>
      </c>
      <c r="G42" s="15" t="inlineStr">
        <is>
          <t>Đăng Khoa</t>
        </is>
      </c>
      <c r="H42" s="15" t="inlineStr">
        <is>
          <t>Hữu Khoa</t>
        </is>
      </c>
      <c r="I42" s="16" t="inlineStr">
        <is>
          <t>sql/C_trigger_view.sql</t>
        </is>
      </c>
      <c r="J42" s="20" t="inlineStr">
        <is>
          <t>Hoàn thành</t>
        </is>
      </c>
      <c r="K42" s="21" t="n">
        <v>1</v>
      </c>
      <c r="L42" s="22" t="inlineStr">
        <is>
          <t>sql/C_trigger_view.sql – trg_c_lan_kham_hoan_thanh_bac_si, trg_c_don_thuoc_hoan_thanh_bac_si (BR-C02), trg_c_don_co_chan_doan (BR-C03), trg_c_chi_tiet_khong_ke_hoat_chat_di_ung (BR-C01), nhóm bất biến/chỉ hủy/cấm TRUNCATE (BR-C05), bảo toàn danh mục đã dùng, ct_c_don_phai_co_chi_tiet (trì hoãn); 4 view v_ho_so_tom_tat, v_ho_so_cua_toi, v_di_ung_tom_tat, v_di_ung_cua_toi (lọc theo app.ma_bn). Chạy không lỗi (28/10); các điều trigger thêm ngoài BR đã ghi vào T09 mục 5 (T30 L12). Chờ Hữu Khoa review</t>
        </is>
      </c>
    </row>
    <row r="43" ht="28" customHeight="1" s="43">
      <c r="A43" s="15" t="inlineStr">
        <is>
          <t>T39</t>
        </is>
      </c>
      <c r="B43" s="15" t="n">
        <v>9</v>
      </c>
      <c r="C43" s="25">
        <f>IF('Tổng quan'!$B$4="","",'Tổng quan'!$B$4+(B43-1)*7)</f>
        <v/>
      </c>
      <c r="D43" s="25">
        <f>IF('Tổng quan'!$B$4="","",C43+6)</f>
        <v/>
      </c>
      <c r="E43" s="15" t="inlineStr">
        <is>
          <t>GĐ3</t>
        </is>
      </c>
      <c r="F43" s="16" t="inlineStr">
        <is>
          <t>Dữ liệu mẫu (seed.sql): mỗi người viết cho mảng mình, Đăng Khoa gộp và đảm bảo đủ để truy vấn có kết quả</t>
        </is>
      </c>
      <c r="G43" s="15" t="inlineStr">
        <is>
          <t>Đăng Khoa</t>
        </is>
      </c>
      <c r="H43" s="15" t="inlineStr">
        <is>
          <t>Cả nhóm</t>
        </is>
      </c>
      <c r="I43" s="16" t="inlineStr">
        <is>
          <t>sql/seed.sql</t>
        </is>
      </c>
      <c r="J43" s="20" t="inlineStr">
        <is>
          <t>Hoàn thành</t>
        </is>
      </c>
      <c r="K43" s="21" t="n">
        <v>1</v>
      </c>
      <c r="L43" s="22" t="inlineStr">
        <is>
          <t>sql/seed.sql gọi A_seed.sql, B_seed.sql (Khôi viết 28/10) và C_seed.sql (Đăng Khoa viết, Khôi bổ sung 28/10). Mô phỏng phòng khám đã hoạt động 3 tháng theo quy mô báo cáo mục 1: 6 chuyên khoa, 20 bác sĩ (8 đa khoa, 12 chuyên khoa; 1 bác sĩ mới chưa xếp ca), 4 lễ tân, 3 quản trị (điều dưỡng không lưu – T07); 2.749 ca; 3.000 bệnh nhân (3 nhóm tần suất), 1.226 tài khoản; 13.978 lịch hẹn (ngày thường trung bình 150 lượt khám hoàn thành, thứ 7 83; 20% từ xa; 10% hủy, 5% vắng), 6.015 giấy chuyển; 10.850 lần khám, 13.403 chẩn đoán (17 mã ICD-10), 9.601 đơn, 12.897 dòng thuốc (14 thuốc, 13 hoạt chất), 284 ghi nhận dị ứng. Ngày theo CURRENT_DATE (91 ngày trước – 14 ngày tới); dữ liệu đi qua mọi trigger; chạy khoảng 3 giây, CSDL 32 MB. Mã lịch hẹn, giấy từ 10001 để không đụng tests_B. Mọi truy vấn A, B, C có kết quả (dưới 0,2 giây); tests_B 50/50, tests_C 15/15. Chờ Đăng Khoa review</t>
        </is>
      </c>
    </row>
    <row r="44" ht="28" customHeight="1" s="43">
      <c r="A44" s="15" t="inlineStr">
        <is>
          <t>T40</t>
        </is>
      </c>
      <c r="B44" s="15" t="n">
        <v>10</v>
      </c>
      <c r="C44" s="25">
        <f>IF('Tổng quan'!$B$4="","",'Tổng quan'!$B$4+(B44-1)*7)</f>
        <v/>
      </c>
      <c r="D44" s="25">
        <f>IF('Tổng quan'!$B$4="","",C44+6)</f>
        <v/>
      </c>
      <c r="E44" s="15" t="inlineStr">
        <is>
          <t>GĐ3</t>
        </is>
      </c>
      <c r="F44" s="16" t="inlineStr">
        <is>
          <t>4 truy vấn phức tạp mảng A (JOIN, subquery, hàm tổng hợp, GROUP BY/HAVING)</t>
        </is>
      </c>
      <c r="G44" s="15" t="inlineStr">
        <is>
          <t>Hữu Khoa</t>
        </is>
      </c>
      <c r="H44" s="15" t="inlineStr">
        <is>
          <t>Khôi</t>
        </is>
      </c>
      <c r="I44" s="16" t="inlineStr">
        <is>
          <t>sql/queries_A.sql</t>
        </is>
      </c>
      <c r="J44" s="20" t="inlineStr">
        <is>
          <t>Hoàn thành</t>
        </is>
      </c>
      <c r="K44" s="21" t="n">
        <v>1</v>
      </c>
      <c r="L44" s="22" t="inlineStr">
        <is>
          <t>sql/queries_A.sql – Q1 lịch trực sắp tới + số lịch hẹn trong ca; Q2 bác sĩ có tổng giờ &gt; TB cùng loại; Q3 bác sĩ chưa có ca hiệu lực (NOT EXISTS); Q4 chuyên khoa ≥ 2 bác sĩ có ca trong khoảng tu_luc, den_luc (CTE params, T30 L14). Q2, Q4 khác đề xuất ở sheet Mảng nghiệp vụ (đã cập nhật). Có kết quả trên seed.sql (T39, 28/10). Chờ Khôi review. Đã trình bày ở báo cáo v3 mục 4.2.2 kèm kết quả mẫu (T46).</t>
        </is>
      </c>
    </row>
    <row r="45" ht="182" customHeight="1" s="43">
      <c r="A45" s="15" t="inlineStr">
        <is>
          <t>T41</t>
        </is>
      </c>
      <c r="B45" s="15" t="n">
        <v>10</v>
      </c>
      <c r="C45" s="25">
        <f>IF('Tổng quan'!$B$4="","",'Tổng quan'!$B$4+(B45-1)*7)</f>
        <v/>
      </c>
      <c r="D45" s="25">
        <f>IF('Tổng quan'!$B$4="","",C45+6)</f>
        <v/>
      </c>
      <c r="E45" s="15" t="inlineStr">
        <is>
          <t>GĐ3</t>
        </is>
      </c>
      <c r="F45" s="16" t="inlineStr">
        <is>
          <t>4 truy vấn phức tạp mảng B</t>
        </is>
      </c>
      <c r="G45" s="15" t="inlineStr">
        <is>
          <t>Khôi</t>
        </is>
      </c>
      <c r="H45" s="15" t="inlineStr">
        <is>
          <t>Đăng Khoa</t>
        </is>
      </c>
      <c r="I45" s="16" t="inlineStr">
        <is>
          <t>sql/queries_B.sql</t>
        </is>
      </c>
      <c r="J45" s="20" t="inlineStr">
        <is>
          <t>Hoàn thành</t>
        </is>
      </c>
      <c r="K45" s="21" t="n">
        <v>1</v>
      </c>
      <c r="L45" s="22" t="inlineStr">
        <is>
          <t>sql/queries_B.sql – Q1 tỷ lệ hủy/vắng theo bác sĩ (JOIN, FILTER, HAVING); Q2 doanh thu chuyên khoa theo tháng (hàm cửa sổ); Q3 bệnh nhân &gt; 3 lần khám/6 tháng (subquery FROM + EXISTS tương quan); Q4 khung giờ đông nhất, tỷ lệ từ xa (ROLLUP, RANK). Kiểm chứng trên dữ liệu thử qua trigger, đối chiếu tính độc lập bằng Python: khớp (27/10). Chờ Đăng Khoa review</t>
        </is>
      </c>
    </row>
    <row r="46">
      <c r="A46" s="15" t="inlineStr">
        <is>
          <t>T42</t>
        </is>
      </c>
      <c r="B46" s="15" t="n">
        <v>10</v>
      </c>
      <c r="C46" s="25">
        <f>IF('Tổng quan'!$B$4="","",'Tổng quan'!$B$4+(B46-1)*7)</f>
        <v/>
      </c>
      <c r="D46" s="25">
        <f>IF('Tổng quan'!$B$4="","",C46+6)</f>
        <v/>
      </c>
      <c r="E46" s="15" t="inlineStr">
        <is>
          <t>GĐ3</t>
        </is>
      </c>
      <c r="F46" s="16" t="inlineStr">
        <is>
          <t>4 truy vấn phức tạp mảng C</t>
        </is>
      </c>
      <c r="G46" s="15" t="inlineStr">
        <is>
          <t>Đăng Khoa</t>
        </is>
      </c>
      <c r="H46" s="15" t="inlineStr">
        <is>
          <t>Hữu Khoa</t>
        </is>
      </c>
      <c r="I46" s="16" t="inlineStr">
        <is>
          <t>sql/queries_C.sql</t>
        </is>
      </c>
      <c r="J46" s="20" t="inlineStr">
        <is>
          <t>Hoàn thành</t>
        </is>
      </c>
      <c r="K46" s="21" t="n">
        <v>1</v>
      </c>
      <c r="L46" s="22" t="inlineStr">
        <is>
          <t>sql/queries_C.sql – Q09 top 10 thuốc theo quý; Q10 bệnh nhân có mã ICD chưa tái khám sau 30 ngày; Q11 lịch sử lâm sàng 1 bệnh nhân (JOIN 5+ bảng); Q12 bác sĩ có số thuốc TB/đơn &gt; mức chung; tham số trong CTE params. Chạy được; có kết quả trên fixture của Đăng Khoa, có kết quả trên seed.sql (T39, 28/10). Chờ Hữu Khoa review. Đã trình bày ở báo cáo v3 mục 4.2.2 kèm kết quả mẫu (T46).</t>
        </is>
      </c>
    </row>
    <row r="47" ht="28" customHeight="1" s="43">
      <c r="A47" s="15" t="inlineStr">
        <is>
          <t>T43</t>
        </is>
      </c>
      <c r="B47" s="15" t="n">
        <v>10</v>
      </c>
      <c r="C47" s="25">
        <f>IF('Tổng quan'!$B$4="","",'Tổng quan'!$B$4+(B47-1)*7)</f>
        <v/>
      </c>
      <c r="D47" s="25">
        <f>IF('Tổng quan'!$B$4="","",C47+6)</f>
        <v/>
      </c>
      <c r="E47" s="15" t="inlineStr">
        <is>
          <t>GĐ3</t>
        </is>
      </c>
      <c r="F47" s="16" t="inlineStr">
        <is>
          <t>Test ràng buộc (mục 5.1): mỗi người viết INSERT/UPDATE sai cho mảng mình, Đăng Khoa gộp &amp; chạy</t>
        </is>
      </c>
      <c r="G47" s="15" t="inlineStr">
        <is>
          <t>Đăng Khoa</t>
        </is>
      </c>
      <c r="H47" s="15" t="inlineStr">
        <is>
          <t>Cả nhóm</t>
        </is>
      </c>
      <c r="I47" s="16" t="inlineStr">
        <is>
          <t>sql/tests.sql + kết quả</t>
        </is>
      </c>
      <c r="J47" s="20" t="inlineStr">
        <is>
          <t>Hoàn thành</t>
        </is>
      </c>
      <c r="K47" s="21" t="n">
        <v>1</v>
      </c>
      <c r="L47" s="22" t="inlineStr">
        <is>
          <t>sql/tests.sql gọi tests_A.sql (Khôi viết 28/10, 35 ca), tests_B.sql (67 ca), tests_C.sql (22 ca, Đăng Khoa viết, Khôi bổ sung). Phủ đủ 26 BR (A01–A10, B01–B10, C01–C06), kể cả phân quyền BR-A09, B08, B10, C06 bằng ca chạy thật dưới từng role (SET LOCAL ROLE). Chạy theo README (schema → trigger/view → seed → rbac → tests) trên PG16.10 ngày 28/10: 124/124 đạt; tests_A, tests_B cũng đạt khi chưa có seed. Chờ Đăng Khoa review</t>
        </is>
      </c>
    </row>
    <row r="48">
      <c r="A48" s="15" t="inlineStr">
        <is>
          <t>T44</t>
        </is>
      </c>
      <c r="B48" s="15" t="n">
        <v>10</v>
      </c>
      <c r="C48" s="25">
        <f>IF('Tổng quan'!$B$4="","",'Tổng quan'!$B$4+(B48-1)*7)</f>
        <v/>
      </c>
      <c r="D48" s="25">
        <f>IF('Tổng quan'!$B$4="","",C48+6)</f>
        <v/>
      </c>
      <c r="E48" s="15" t="inlineStr">
        <is>
          <t>GĐ3</t>
        </is>
      </c>
      <c r="F48" s="16" t="inlineStr">
        <is>
          <t>Kiểm thử hiệu năng: EXPLAIN ANALYZE trước/sau khi tạo index</t>
        </is>
      </c>
      <c r="G48" s="15" t="inlineStr">
        <is>
          <t>Đăng Khoa</t>
        </is>
      </c>
      <c r="H48" s="15" t="inlineStr">
        <is>
          <t>Hữu Khoa</t>
        </is>
      </c>
      <c r="I48" s="16" t="inlineStr">
        <is>
          <t>Mục 4.2 – performance</t>
        </is>
      </c>
      <c r="J48" s="20" t="inlineStr">
        <is>
          <t>Hoàn thành</t>
        </is>
      </c>
      <c r="K48" s="21" t="n">
        <v>1</v>
      </c>
      <c r="L48" s="22" t="inlineStr">
        <is>
          <t>sql/performance.sql (Khôi làm 28/10, gộp performance_C.sql của Đăng Khoa): 6 bài đo PT-01…PT-06 trên dữ liệu 1 năm (seed.sql -v so_ngay=365: 52.437 lịch hẹn, 43.541 lần khám, 95 MB); "trước chỉ mục" bỏ chỉ mục trong giao dịch rồi ROLLBACK; trung vị 5 lần. Kết quả (ms, trước → sau): lịch hôm nay 3,39 → 0,38; lịch một bệnh nhân 5,37 → 0,04; lịch trực bác sĩ 0,31 → 0,02; hồ sơ một bệnh nhân 8,98 → 0,13; Q09 7,99 → 3,41; Q05 8,06 → 7,63 (tổng hợp toàn bảng, chỉ mục không giúp). Đã điền báo cáo mục 4.2.3. Chờ Đăng Khoa review</t>
        </is>
      </c>
    </row>
    <row r="49" ht="28" customHeight="1" s="43">
      <c r="A49" s="15" t="inlineStr">
        <is>
          <t>T45</t>
        </is>
      </c>
      <c r="B49" s="15" t="n">
        <v>10</v>
      </c>
      <c r="C49" s="25">
        <f>IF('Tổng quan'!$B$4="","",'Tổng quan'!$B$4+(B49-1)*7)</f>
        <v/>
      </c>
      <c r="D49" s="25">
        <f>IF('Tổng quan'!$B$4="","",C49+6)</f>
        <v/>
      </c>
      <c r="E49" s="15" t="inlineStr">
        <is>
          <t>GĐ3</t>
        </is>
      </c>
      <c r="F49" s="16" t="inlineStr">
        <is>
          <t>RBAC (mục 5.2): role admin, bác sĩ, lễ tân, bệnh nhân; GRANT/REVOKE</t>
        </is>
      </c>
      <c r="G49" s="15" t="inlineStr">
        <is>
          <t>Đăng Khoa</t>
        </is>
      </c>
      <c r="H49" s="15" t="inlineStr">
        <is>
          <t>Khôi</t>
        </is>
      </c>
      <c r="I49" s="16" t="inlineStr">
        <is>
          <t>sql/rbac.sql</t>
        </is>
      </c>
      <c r="J49" s="20" t="inlineStr">
        <is>
          <t>Hoàn thành</t>
        </is>
      </c>
      <c r="K49" s="21" t="n">
        <v>1</v>
      </c>
      <c r="L49" s="22" t="inlineStr">
        <is>
          <t>sql/rbac.sql – 6 role NOLOGIN; quyền đủ ba mảng (28/10, Khôi bổ sung A, B): quản trị nhân sự thêm, sửa bảng A, không xóa (BR-A09); bác sĩ, lễ tân chỉ xem A; lễ tân thêm, sửa bệnh nhân, lịch hẹn, không xóa; bác sĩ xem B và lập giấy chuyển (BR-B08); quản trị tài khoản tạo tài khoản, chỉ sửa trang_thai, không đọc mật khẩu băm; lễ tân tạo tài khoản bệnh nhân, đặt lại mật khẩu bệnh nhân qua hàm; mọi người đổi mật khẩu của mình qua doi_mat_khau (BR-B10; hàm, view v_lich_hen_cua_toi ở B_trigger_view.sql); phần C như cũ (BR-C06). Kiểm thử trong tests_A/B/C (T43). Báo cáo 5.2 (28/10): bảng quyền 6 role theo đúng tên, quyền trong rbac.sql (bỏ tên r_qt_* cũ); nguyên tắc đặc quyền tối thiểu, trích lệnh CREATE ROLE/GRANT/REVOKE (đối chiếu khớp rbac.sql); kết quả 31 ca kiểm thử phân quyền kèm ví dụ thông báo lỗi; mục 5.1 cập nhật 67 ca mảng B. Chờ Đăng Khoa review</t>
        </is>
      </c>
    </row>
    <row r="50" ht="196" customHeight="1" s="43">
      <c r="A50" s="15" t="inlineStr">
        <is>
          <t>T46</t>
        </is>
      </c>
      <c r="B50" s="15" t="n">
        <v>10</v>
      </c>
      <c r="C50" s="25">
        <f>IF('Tổng quan'!$B$4="","",'Tổng quan'!$B$4+(B50-1)*7)</f>
        <v/>
      </c>
      <c r="D50" s="25">
        <f>IF('Tổng quan'!$B$4="","",C50+6)</f>
        <v/>
      </c>
      <c r="E50" s="15" t="inlineStr">
        <is>
          <t>GĐ3</t>
        </is>
      </c>
      <c r="F50" s="16" t="inlineStr">
        <is>
          <t>Viết mục 4.1, 4.2 (Hữu Khoa gộp) và mục 5 (Đăng Khoa gộp); nộp v3</t>
        </is>
      </c>
      <c r="G50" s="15" t="inlineStr">
        <is>
          <t>Khôi</t>
        </is>
      </c>
      <c r="H50" s="15" t="inlineStr">
        <is>
          <t>Cả nhóm</t>
        </is>
      </c>
      <c r="I50" s="16" t="inlineStr">
        <is>
          <t>Báo cáo v3</t>
        </is>
      </c>
      <c r="J50" s="20" t="inlineStr">
        <is>
          <t>Hoàn thành</t>
        </is>
      </c>
      <c r="K50" s="21" t="n">
        <v>1</v>
      </c>
      <c r="L50" s="22" t="inlineStr">
        <is>
          <t>docs/INT1313_TX_G5_DeTai05_Telemedicine_v3.docx – nộp 28/10/2026 (đổi tên từ v2.2, bìa "Phiên bản: v3"). Mục 4: môi trường, thứ tự chạy script; 4.1.1 thêm A (ca_lam_viec), C (lan_kham, chi_tiet_don_thuoc); 4.1.2 chỉ mục A, C; 4.1.3 view C, v_lich_hen_cua_toi; 4.1.4 trigger C đúng tên (thay 3 dòng tên cũ), ghi chú SECURITY DEFINER; 4.1.5 bảng số bản ghi seed 3 tháng; 4.1.6 cơ chế C, A09 theo cài đặt; 4.2.1 Q01–Q04, Q09–Q12 theo truy vấn thật; 4.2.2 thêm A, C (yêu cầu, SQL, kết quả mẫu từ seed, cách hoạt động), điền kết quả mẫu Q05–Q08; 4.2.3 (T44). Mục 5: 5.1 thêm ca tiêu biểu A, C (35 dòng), tổng kết 124/124; 5.2 (T45). Bỏ hết chữ xám mục 4, 5; queries_A.sql đổi số hiệu Q01–Q04</t>
        </is>
      </c>
    </row>
    <row r="51" ht="28" customHeight="1" s="43">
      <c r="A51" s="17" t="inlineStr">
        <is>
          <t>T47</t>
        </is>
      </c>
      <c r="B51" s="17" t="n">
        <v>11</v>
      </c>
      <c r="C51" s="26">
        <f>IF('Tổng quan'!$B$4="","",'Tổng quan'!$B$4+(B51-1)*7)</f>
        <v/>
      </c>
      <c r="D51" s="26">
        <f>IF('Tổng quan'!$B$4="","",C51+6)</f>
        <v/>
      </c>
      <c r="E51" s="17" t="inlineStr">
        <is>
          <t>GĐ4</t>
        </is>
      </c>
      <c r="F51" s="18" t="inlineStr">
        <is>
          <t>Khung ứng dụng Flask: cấu hình kết nối DB, layout, đăng nhập theo role</t>
        </is>
      </c>
      <c r="G51" s="17" t="inlineStr">
        <is>
          <t>Khôi</t>
        </is>
      </c>
      <c r="H51" s="17" t="inlineStr">
        <is>
          <t>Hữu Khoa</t>
        </is>
      </c>
      <c r="I51" s="18" t="inlineStr">
        <is>
          <t>app/ chạy được</t>
        </is>
      </c>
      <c r="J51" s="20" t="inlineStr">
        <is>
          <t>Chưa bắt đầu</t>
        </is>
      </c>
      <c r="K51" s="21" t="n">
        <v>0</v>
      </c>
      <c r="L51" s="22" t="n"/>
    </row>
    <row r="52">
      <c r="A52" s="17" t="inlineStr">
        <is>
          <t>T48</t>
        </is>
      </c>
      <c r="B52" s="17" t="n">
        <v>11</v>
      </c>
      <c r="C52" s="26">
        <f>IF('Tổng quan'!$B$4="","",'Tổng quan'!$B$4+(B52-1)*7)</f>
        <v/>
      </c>
      <c r="D52" s="26">
        <f>IF('Tổng quan'!$B$4="","",C52+6)</f>
        <v/>
      </c>
      <c r="E52" s="17" t="inlineStr">
        <is>
          <t>GĐ4</t>
        </is>
      </c>
      <c r="F52" s="18" t="inlineStr">
        <is>
          <t>Màn hình mảng A: danh sách bác sĩ theo chuyên khoa, lịch làm việc</t>
        </is>
      </c>
      <c r="G52" s="17" t="inlineStr">
        <is>
          <t>Hữu Khoa</t>
        </is>
      </c>
      <c r="H52" s="17" t="inlineStr">
        <is>
          <t>Khôi</t>
        </is>
      </c>
      <c r="I52" s="18" t="inlineStr">
        <is>
          <t>Màn hình A</t>
        </is>
      </c>
      <c r="J52" s="20" t="inlineStr">
        <is>
          <t>Chưa bắt đầu</t>
        </is>
      </c>
      <c r="K52" s="21" t="n">
        <v>0</v>
      </c>
      <c r="L52" s="22" t="n"/>
    </row>
    <row r="53" ht="28" customHeight="1" s="43">
      <c r="A53" s="17" t="inlineStr">
        <is>
          <t>T49</t>
        </is>
      </c>
      <c r="B53" s="17" t="n">
        <v>11</v>
      </c>
      <c r="C53" s="26">
        <f>IF('Tổng quan'!$B$4="","",'Tổng quan'!$B$4+(B53-1)*7)</f>
        <v/>
      </c>
      <c r="D53" s="26">
        <f>IF('Tổng quan'!$B$4="","",C53+6)</f>
        <v/>
      </c>
      <c r="E53" s="17" t="inlineStr">
        <is>
          <t>GĐ4</t>
        </is>
      </c>
      <c r="F53" s="18" t="inlineStr">
        <is>
          <t>Màn hình mảng B: đặt lịch hẹn (hiện lỗi trigger khi trùng giờ), danh sách lịch hẹn</t>
        </is>
      </c>
      <c r="G53" s="17" t="inlineStr">
        <is>
          <t>Khôi</t>
        </is>
      </c>
      <c r="H53" s="17" t="inlineStr">
        <is>
          <t>Đăng Khoa</t>
        </is>
      </c>
      <c r="I53" s="18" t="inlineStr">
        <is>
          <t>Màn hình B</t>
        </is>
      </c>
      <c r="J53" s="20" t="inlineStr">
        <is>
          <t>Chưa bắt đầu</t>
        </is>
      </c>
      <c r="K53" s="21" t="n">
        <v>0</v>
      </c>
      <c r="L53" s="22" t="n"/>
    </row>
    <row r="54" ht="28" customHeight="1" s="43">
      <c r="A54" s="17" t="inlineStr">
        <is>
          <t>T50</t>
        </is>
      </c>
      <c r="B54" s="17" t="n">
        <v>11</v>
      </c>
      <c r="C54" s="26">
        <f>IF('Tổng quan'!$B$4="","",'Tổng quan'!$B$4+(B54-1)*7)</f>
        <v/>
      </c>
      <c r="D54" s="26">
        <f>IF('Tổng quan'!$B$4="","",C54+6)</f>
        <v/>
      </c>
      <c r="E54" s="17" t="inlineStr">
        <is>
          <t>GĐ4</t>
        </is>
      </c>
      <c r="F54" s="18" t="inlineStr">
        <is>
          <t>Màn hình mảng C: tạo lần khám, kê đơn thuốc (hiện cảnh báo dị ứng), xem bệnh án</t>
        </is>
      </c>
      <c r="G54" s="17" t="inlineStr">
        <is>
          <t>Đăng Khoa</t>
        </is>
      </c>
      <c r="H54" s="17" t="inlineStr">
        <is>
          <t>Hữu Khoa</t>
        </is>
      </c>
      <c r="I54" s="18" t="inlineStr">
        <is>
          <t>Màn hình C</t>
        </is>
      </c>
      <c r="J54" s="20" t="inlineStr">
        <is>
          <t>Chưa bắt đầu</t>
        </is>
      </c>
      <c r="K54" s="21" t="n">
        <v>0</v>
      </c>
      <c r="L54" s="22" t="n"/>
    </row>
    <row r="55">
      <c r="A55" s="17" t="inlineStr">
        <is>
          <t>T51</t>
        </is>
      </c>
      <c r="B55" s="17" t="n">
        <v>11</v>
      </c>
      <c r="C55" s="26">
        <f>IF('Tổng quan'!$B$4="","",'Tổng quan'!$B$4+(B55-1)*7)</f>
        <v/>
      </c>
      <c r="D55" s="26">
        <f>IF('Tổng quan'!$B$4="","",C55+6)</f>
        <v/>
      </c>
      <c r="E55" s="17" t="inlineStr">
        <is>
          <t>GĐ4</t>
        </is>
      </c>
      <c r="F55" s="18" t="inlineStr">
        <is>
          <t>Slide thuyết trình (mỗi người làm slide mảng mình) + kịch bản demo</t>
        </is>
      </c>
      <c r="G55" s="17" t="inlineStr">
        <is>
          <t>Khôi</t>
        </is>
      </c>
      <c r="H55" s="17" t="inlineStr">
        <is>
          <t>Cả nhóm</t>
        </is>
      </c>
      <c r="I55" s="18" t="inlineStr">
        <is>
          <t>Slide + kịch bản demo</t>
        </is>
      </c>
      <c r="J55" s="20" t="inlineStr">
        <is>
          <t>Chưa bắt đầu</t>
        </is>
      </c>
      <c r="K55" s="21" t="n">
        <v>0</v>
      </c>
      <c r="L55" s="22" t="n"/>
    </row>
    <row r="56" ht="28" customHeight="1" s="43">
      <c r="A56" s="17" t="inlineStr">
        <is>
          <t>T52</t>
        </is>
      </c>
      <c r="B56" s="17" t="n">
        <v>12</v>
      </c>
      <c r="C56" s="26">
        <f>IF('Tổng quan'!$B$4="","",'Tổng quan'!$B$4+(B56-1)*7)</f>
        <v/>
      </c>
      <c r="D56" s="26">
        <f>IF('Tổng quan'!$B$4="","",C56+6)</f>
        <v/>
      </c>
      <c r="E56" s="17" t="inlineStr">
        <is>
          <t>GĐ4</t>
        </is>
      </c>
      <c r="F56" s="18" t="inlineStr">
        <is>
          <t>Hoàn thiện báo cáo cuối v4: tóm tắt ~200 từ, tài liệu tham khảo APA 7, đúng mẫu</t>
        </is>
      </c>
      <c r="G56" s="17" t="inlineStr">
        <is>
          <t>Khôi</t>
        </is>
      </c>
      <c r="H56" s="17" t="inlineStr">
        <is>
          <t>Cả nhóm</t>
        </is>
      </c>
      <c r="I56" s="18" t="inlineStr">
        <is>
          <t>Báo cáo v4</t>
        </is>
      </c>
      <c r="J56" s="20" t="inlineStr">
        <is>
          <t>Chưa bắt đầu</t>
        </is>
      </c>
      <c r="K56" s="21" t="n">
        <v>0</v>
      </c>
      <c r="L56" s="22" t="n"/>
    </row>
    <row r="57" ht="28" customHeight="1" s="43">
      <c r="A57" s="17" t="inlineStr">
        <is>
          <t>T53</t>
        </is>
      </c>
      <c r="B57" s="17" t="n">
        <v>12</v>
      </c>
      <c r="C57" s="26">
        <f>IF('Tổng quan'!$B$4="","",'Tổng quan'!$B$4+(B57-1)*7)</f>
        <v/>
      </c>
      <c r="D57" s="26">
        <f>IF('Tổng quan'!$B$4="","",C57+6)</f>
        <v/>
      </c>
      <c r="E57" s="17" t="inlineStr">
        <is>
          <t>GĐ4</t>
        </is>
      </c>
      <c r="F57" s="18" t="inlineStr">
        <is>
          <t>Diễn tập bảo vệ SQL: mỗi người giải thích truy vấn/trigger của 2 người còn lại, viết truy vấn tại chỗ</t>
        </is>
      </c>
      <c r="G57" s="17" t="inlineStr">
        <is>
          <t>Cả nhóm</t>
        </is>
      </c>
      <c r="H57" s="17" t="inlineStr">
        <is>
          <t>Cả nhóm</t>
        </is>
      </c>
      <c r="I57" s="18" t="inlineStr">
        <is>
          <t>Buổi diễn tập</t>
        </is>
      </c>
      <c r="J57" s="20" t="inlineStr">
        <is>
          <t>Chưa bắt đầu</t>
        </is>
      </c>
      <c r="K57" s="21" t="n">
        <v>0</v>
      </c>
      <c r="L57" s="22" t="n"/>
    </row>
    <row r="58" ht="28" customHeight="1" s="43">
      <c r="A58" s="17" t="inlineStr">
        <is>
          <t>T54</t>
        </is>
      </c>
      <c r="B58" s="17" t="n">
        <v>12</v>
      </c>
      <c r="C58" s="26">
        <f>IF('Tổng quan'!$B$4="","",'Tổng quan'!$B$4+(B58-1)*7)</f>
        <v/>
      </c>
      <c r="D58" s="26">
        <f>IF('Tổng quan'!$B$4="","",C58+6)</f>
        <v/>
      </c>
      <c r="E58" s="17" t="inlineStr">
        <is>
          <t>GĐ4</t>
        </is>
      </c>
      <c r="F58" s="18" t="inlineStr">
        <is>
          <t>Chạy thử demo trên máy trình chiếu (DB sạch → schema → seed → app)</t>
        </is>
      </c>
      <c r="G58" s="17" t="inlineStr">
        <is>
          <t>Hữu Khoa</t>
        </is>
      </c>
      <c r="H58" s="17" t="inlineStr">
        <is>
          <t>Cả nhóm</t>
        </is>
      </c>
      <c r="I58" s="18" t="inlineStr">
        <is>
          <t>Demo ổn định</t>
        </is>
      </c>
      <c r="J58" s="20" t="inlineStr">
        <is>
          <t>Chưa bắt đầu</t>
        </is>
      </c>
      <c r="K58" s="21" t="n">
        <v>0</v>
      </c>
      <c r="L58" s="22" t="n"/>
    </row>
    <row r="59">
      <c r="A59" s="17" t="inlineStr">
        <is>
          <t>T55</t>
        </is>
      </c>
      <c r="B59" s="17" t="n">
        <v>12</v>
      </c>
      <c r="C59" s="26">
        <f>IF('Tổng quan'!$B$4="","",'Tổng quan'!$B$4+(B59-1)*7)</f>
        <v/>
      </c>
      <c r="D59" s="26">
        <f>IF('Tổng quan'!$B$4="","",C59+6)</f>
        <v/>
      </c>
      <c r="E59" s="17" t="inlineStr">
        <is>
          <t>GĐ4</t>
        </is>
      </c>
      <c r="F59" s="18" t="inlineStr">
        <is>
          <t>Thuyết trình, bảo vệ, đánh giá chéo thành viên</t>
        </is>
      </c>
      <c r="G59" s="17" t="inlineStr">
        <is>
          <t>Cả nhóm</t>
        </is>
      </c>
      <c r="H59" s="17" t="inlineStr">
        <is>
          <t>Cả nhóm</t>
        </is>
      </c>
      <c r="I59" s="18" t="inlineStr">
        <is>
          <t>Hoàn thành đồ án</t>
        </is>
      </c>
      <c r="J59" s="20" t="inlineStr">
        <is>
          <t>Chưa bắt đầu</t>
        </is>
      </c>
      <c r="K59" s="21" t="n">
        <v>0</v>
      </c>
      <c r="L59" s="22" t="n"/>
    </row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</sheetData>
  <autoFilter ref="A4:L59"/>
  <conditionalFormatting sqref="A5:E109">
    <cfRule type="expression" priority="6" dxfId="3" stopIfTrue="1">
      <formula>$J5="Hoàn thành"</formula>
    </cfRule>
  </conditionalFormatting>
  <conditionalFormatting sqref="F5:F109">
    <cfRule type="expression" priority="5" dxfId="4" stopIfTrue="1">
      <formula>$J5="Hoàn thành"</formula>
    </cfRule>
  </conditionalFormatting>
  <conditionalFormatting sqref="G5:I109">
    <cfRule type="expression" priority="7" dxfId="3" stopIfTrue="1">
      <formula>$J5="Hoàn thành"</formula>
    </cfRule>
  </conditionalFormatting>
  <conditionalFormatting sqref="J5:J109">
    <cfRule type="cellIs" priority="1" operator="equal" dxfId="2">
      <formula>"Hoàn thành"</formula>
    </cfRule>
    <cfRule type="cellIs" priority="2" operator="equal" dxfId="1">
      <formula>"Đang làm"</formula>
    </cfRule>
    <cfRule type="cellIs" priority="3" operator="equal" dxfId="0">
      <formula>"Trễ hạn"</formula>
    </cfRule>
  </conditionalFormatting>
  <dataValidations count="3">
    <dataValidation sqref="J5:J109" showDropDown="0" showInputMessage="0" showErrorMessage="0" allowBlank="1" type="list">
      <formula1>"Chưa bắt đầu,Đang làm,Hoàn thành,Trễ hạn"</formula1>
    </dataValidation>
    <dataValidation sqref="G5:H109" showDropDown="0" showInputMessage="0" showErrorMessage="0" allowBlank="1" type="list">
      <formula1>"Khôi,Hữu Khoa,Đăng Khoa,Cả nhóm"</formula1>
    </dataValidation>
    <dataValidation sqref="K5:K109" showDropDown="0" showInputMessage="0" showErrorMessage="1" allowBlank="1" error="Nhập từ 0% đến 100%" type="decimal">
      <formula1>0</formula1>
      <formula2>1</formula2>
    </dataValidation>
  </dataValidation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2" customWidth="1" style="43" min="1" max="1"/>
    <col width="52" customWidth="1" style="43" min="2" max="4"/>
  </cols>
  <sheetData>
    <row r="1" ht="18" customHeight="1" s="43">
      <c r="A1" s="1" t="inlineStr">
        <is>
          <t>Phân chia mảng nghiệp vụ (mỗi người sở hữu end-to-end)</t>
        </is>
      </c>
    </row>
    <row r="2">
      <c r="A2" s="2" t="inlineStr">
        <is>
          <t>Tên thực thể/trigger/truy vấn là đề xuất ban đầu – chốt lại ở GĐ0–GĐ1.</t>
        </is>
      </c>
    </row>
    <row r="4">
      <c r="A4" s="6" t="inlineStr">
        <is>
          <t>Hạng mục</t>
        </is>
      </c>
      <c r="B4" s="6" t="inlineStr">
        <is>
          <t>A. Nhân viên y tế &amp; Lịch làm việc (Hữu Khoa)</t>
        </is>
      </c>
      <c r="C4" s="6" t="inlineStr">
        <is>
          <t>B. Bệnh nhân &amp; Lịch hẹn (Khôi)</t>
        </is>
      </c>
      <c r="D4" s="6" t="inlineStr">
        <is>
          <t>C. Bệnh án &amp; Đơn thuốc (Đăng Khoa)</t>
        </is>
      </c>
    </row>
    <row r="5" ht="55" customHeight="1" s="43">
      <c r="A5" s="27" t="inlineStr">
        <is>
          <t>Thực thể chính</t>
        </is>
      </c>
      <c r="B5" s="8" t="inlineStr">
        <is>
          <t>BAC_SI (lớp cha; chứng chỉ hành nghề là thuộc tính) → BAC_SI_DA_KHOA, BAC_SI_CHUYEN_KHOA
CHUYEN_KHOA, CA_LAM_VIEC</t>
        </is>
      </c>
      <c r="C5" s="8" t="inlineStr">
        <is>
          <t>BENH_NHAN
LICH_HEN (lớp cha; có phí khám) → KHAM_TRUC_TIEP, TU_VAN_TU_XA (nền tảng, link phiên)
GIAY_CHUYEN_KHOA</t>
        </is>
      </c>
      <c r="D5" s="8" t="inlineStr">
        <is>
          <t>LAN_KHAM, CHAN_DOAN (mã ICD-10), DON_THUOC
THUOC, HOAT_CHAT; KÊ (đơn – thuốc), CHỨA (thuốc – hoạt chất), DI_UNG (bệnh nhân – hoạt chất)
Hồ sơ bệnh án = view tổng hợp</t>
        </is>
      </c>
    </row>
    <row r="6" ht="30" customHeight="1" s="43">
      <c r="A6" s="27" t="inlineStr">
        <is>
          <t>Điểm EER / khó khăn</t>
        </is>
      </c>
      <c r="B6" s="8" t="inlineStr">
        <is>
          <t>Phân lớp disjoint + total cho BAC_SI {Đa khoa, Chuyên khoa}; lý giải chọn phương án ánh xạ 8A/8B/8C</t>
        </is>
      </c>
      <c r="C6" s="8" t="inlineStr">
        <is>
          <t>Phân lớp hình thức khám (trực tiếp / từ xa); vòng đời trạng thái lịch hẹn: Đã đặt → Đã xác nhận → Hoàn thành / Hủy / Vắng mặt</t>
        </is>
      </c>
      <c r="D6" s="8" t="inlineStr">
        <is>
          <t>Toàn vẹn bệnh án: đơn thuốc chỉ gắn lần khám đã hoàn thành, do bác sĩ lập; không xóa bệnh án (chỉ đánh dấu)</t>
        </is>
      </c>
    </row>
    <row r="7" ht="70" customHeight="1" s="43">
      <c r="A7" s="27" t="inlineStr">
        <is>
          <t>Quy tắc nghiệp vụ gợi ý</t>
        </is>
      </c>
      <c r="B7" s="8" t="inlineStr">
        <is>
          <t>• Mỗi bác sĩ thuộc đúng 1 loại: đa khoa hoặc chuyên khoa
• BS chuyên khoa thuộc đúng 1 chuyên khoa
• Chứng chỉ hành nghề phải còn hạn mới được xếp ca
• Ca làm việc của 1 bác sĩ không chồng giờ</t>
        </is>
      </c>
      <c r="C7" s="8" t="inlineStr">
        <is>
          <t>• Lịch hẹn nằm trong ca làm việc của bác sĩ
• 1 bác sĩ, 1 bệnh nhân không có 2 lịch hẹn trùng giờ
• Khám chuyên khoa cần giấy chuyển từ BS đa khoa (trừ tái khám)
• Tư vấn từ xa bắt buộc có link phiên</t>
        </is>
      </c>
      <c r="D7" s="8" t="inlineStr">
        <is>
          <t>• Không kê thuốc chứa hoạt chất bệnh nhân dị ứng
• Số lượng, liều dùng &gt; 0
• Mỗi lần khám có ≥1 chẩn đoán trước khi kê đơn
• Bệnh nhân chỉ xem hồ sơ của chính mình</t>
        </is>
      </c>
    </row>
    <row r="8" ht="40" customHeight="1" s="43">
      <c r="A8" s="27" t="inlineStr">
        <is>
          <t>Trigger (≥1)</t>
        </is>
      </c>
      <c r="B8" s="8" t="inlineStr">
        <is>
          <t>trg_phan_lop_* (4 constraint trigger) – đúng một lớp con, khớp loai_nv
trg_ca_lam_viec_hop_le – giấy phép còn hạn khi xếp ca; sửa/hủy ca không làm lịch hẹn rơi ra ngoài
trg_giay_phep_khong_vo_hieu_ca, trg_ca_lam_viec_khong_xoa</t>
        </is>
      </c>
      <c r="C8" s="8" t="inlineStr">
        <is>
          <t>trg_lich_hen_hop_le – lịch hẹn phải trong ca, không trùng giờ
trg_trang_thai_lich_hen – chỉ cho chuyển trạng thái hợp lệ</t>
        </is>
      </c>
      <c r="D8" s="8" t="inlineStr">
        <is>
          <t>trg_c_chi_tiet_khong_ke_hoat_chat_di_ung – chặn kê thuốc dị ứng
trg_c_lan_kham_hoan_thanh_bac_si, trg_c_don_thuoc_hoan_thanh_bac_si – lịch HOAN_THANH, đúng bác sĩ
trg_c_don_co_chan_doan; trg_c_*_bat_bien, *_chi_huy, *_khong_truncate – không xóa/sửa bệnh án
ct_c_don_phai_co_chi_tiet – đơn có ≥ 1 thuốc</t>
        </is>
      </c>
    </row>
    <row r="9" ht="30" customHeight="1" s="43">
      <c r="A9" s="27" t="inlineStr">
        <is>
          <t>View (≥1)</t>
        </is>
      </c>
      <c r="B9" s="8" t="inlineStr">
        <is>
          <t>v_lich_truc_bac_si</t>
        </is>
      </c>
      <c r="C9" s="8" t="inlineStr">
        <is>
          <t>v_lich_hen_hom_nay</t>
        </is>
      </c>
      <c r="D9" s="8" t="inlineStr">
        <is>
          <t>v_ho_so_tom_tat, v_ho_so_cua_toi, v_di_ung_tom_tat, v_di_ung_cua_toi</t>
        </is>
      </c>
    </row>
    <row r="10" ht="70" customHeight="1" s="43">
      <c r="A10" s="27" t="inlineStr">
        <is>
          <t>4 truy vấn phức tạp</t>
        </is>
      </c>
      <c r="B10" s="8" t="inlineStr">
        <is>
          <t>1. Lịch trực sắp tới và số lịch hẹn trong từng ca
2. Bác sĩ có tổng giờ ca &gt; trung bình cùng loại (CTE, GROUP BY, subquery tương quan)
3. Bác sĩ chưa được xếp ca nào (NOT EXISTS)
4. Chuyên khoa có ≥ 2 bác sĩ và có ca trong khoảng thời gian</t>
        </is>
      </c>
      <c r="C10" s="8" t="inlineStr">
        <is>
          <t>1. Tỷ lệ hủy/vắng mặt theo bác sĩ
2. Doanh thu theo chuyên khoa theo tháng
3. Bệnh nhân khám &gt; 3 lần trong 6 tháng (subquery)
4. Khung giờ đông nhất / tỷ lệ khám từ xa so với trực tiếp</t>
        </is>
      </c>
      <c r="D10" s="8" t="inlineStr">
        <is>
          <t>1. Top 10 thuốc được kê nhiều nhất theo quý
2. Bệnh nhân có chẩn đoán X chưa tái khám sau 30 ngày
3. Lịch sử khám đầy đủ của 1 bệnh nhân (JOIN 5+ bảng)
4. Bác sĩ có số thuốc trung bình/đơn cao hơn mức chung</t>
        </is>
      </c>
    </row>
    <row r="11" ht="30" customHeight="1" s="43">
      <c r="A11" s="27" t="inlineStr">
        <is>
          <t>Màn hình UI</t>
        </is>
      </c>
      <c r="B11" s="8" t="inlineStr">
        <is>
          <t>Danh sách bác sĩ theo chuyên khoa; lịch làm việc theo tuần</t>
        </is>
      </c>
      <c r="C11" s="8" t="inlineStr">
        <is>
          <t>Đặt lịch hẹn (hiện lỗi khi trùng giờ); danh sách lịch hẹn theo ngày</t>
        </is>
      </c>
      <c r="D11" s="8" t="inlineStr">
        <is>
          <t>Tạo lần khám + kê đơn (hiện cảnh báo dị ứng); xem bệnh án</t>
        </is>
      </c>
    </row>
    <row r="12" ht="30" customHeight="1" s="43">
      <c r="A12" s="27" t="inlineStr">
        <is>
          <t>Phần báo cáo phụ trách</t>
        </is>
      </c>
      <c r="B12" s="8" t="inlineStr">
        <is>
          <t>2.1 (gộp), 2.2 (gộp), 3, 4.1</t>
        </is>
      </c>
      <c r="C12" s="8" t="inlineStr">
        <is>
          <t>1, 1.1, 1.2 (gộp), tóm tắt, tài liệu tham khảo</t>
        </is>
      </c>
      <c r="D12" s="8" t="inlineStr">
        <is>
          <t>2.3 (gộp), 4.2, 5.1, 5.2</t>
        </is>
      </c>
    </row>
  </sheetData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10" defaultColWidth="8.83203125" defaultRowHeight="15"/>
  <cols>
    <col width="8" customWidth="1" style="43" min="1" max="1"/>
    <col width="52" customWidth="1" style="43" min="2" max="2"/>
    <col width="14" customWidth="1" style="43" min="3" max="3"/>
    <col width="22" customWidth="1" style="43" min="4" max="4"/>
    <col width="14" customWidth="1" style="43" min="5" max="5"/>
    <col width="10" customWidth="1" style="43" min="6" max="6"/>
    <col width="14" customWidth="1" style="43" min="7" max="7"/>
  </cols>
  <sheetData>
    <row r="1" ht="18" customHeight="1" s="43">
      <c r="A1" s="1" t="inlineStr">
        <is>
          <t>Phân công viết báo cáo theo mẫu INT1313</t>
        </is>
      </c>
    </row>
    <row r="2">
      <c r="A2" s="2" t="inlineStr">
        <is>
          <t>Người viết chính chịu trách nhiệm gộp và thống nhất văn phong; người đóng góp gửi nội dung mảng mình.</t>
        </is>
      </c>
    </row>
    <row r="4">
      <c r="A4" s="6" t="inlineStr">
        <is>
          <t>Mục</t>
        </is>
      </c>
      <c r="B4" s="6" t="inlineStr">
        <is>
          <t>Nội dung</t>
        </is>
      </c>
      <c r="C4" s="6" t="inlineStr">
        <is>
          <t>Viết chính</t>
        </is>
      </c>
      <c r="D4" s="6" t="inlineStr">
        <is>
          <t>Đóng góp</t>
        </is>
      </c>
      <c r="E4" s="6" t="inlineStr">
        <is>
          <t>Phiên bản nộp</t>
        </is>
      </c>
      <c r="F4" s="6" t="inlineStr">
        <is>
          <t>Tuần hạn</t>
        </is>
      </c>
      <c r="G4" s="6" t="inlineStr">
        <is>
          <t>Trạng thái</t>
        </is>
      </c>
    </row>
    <row r="5" ht="28" customHeight="1" s="43">
      <c r="A5" s="7" t="inlineStr">
        <is>
          <t>–</t>
        </is>
      </c>
      <c r="B5" s="8" t="inlineStr">
        <is>
          <t>Giới thiệu tóm tắt (~200 từ)</t>
        </is>
      </c>
      <c r="C5" s="7" t="inlineStr">
        <is>
          <t>Khôi</t>
        </is>
      </c>
      <c r="D5" s="8" t="inlineStr">
        <is>
          <t>Hữu Khoa, Đăng Khoa</t>
        </is>
      </c>
      <c r="E5" s="7" t="inlineStr">
        <is>
          <t>v1 → cập nhật mỗi bản</t>
        </is>
      </c>
      <c r="F5" s="7" t="n">
        <v>12</v>
      </c>
      <c r="G5" s="20" t="inlineStr">
        <is>
          <t>Hoàn thành</t>
        </is>
      </c>
    </row>
    <row r="6">
      <c r="A6" s="7" t="inlineStr">
        <is>
          <t>1</t>
        </is>
      </c>
      <c r="B6" s="8" t="inlineStr">
        <is>
          <t>Giới thiệu đồ án &amp; phạm vi (ISO/IEC/IEEE 29148)</t>
        </is>
      </c>
      <c r="C6" s="7" t="inlineStr">
        <is>
          <t>Khôi</t>
        </is>
      </c>
      <c r="D6" s="8" t="inlineStr">
        <is>
          <t>–</t>
        </is>
      </c>
      <c r="E6" s="7" t="inlineStr">
        <is>
          <t>v1</t>
        </is>
      </c>
      <c r="F6" s="7" t="n">
        <v>2</v>
      </c>
      <c r="G6" s="20" t="inlineStr">
        <is>
          <t>Hoàn thành</t>
        </is>
      </c>
    </row>
    <row r="7">
      <c r="A7" s="7" t="inlineStr">
        <is>
          <t>1.1</t>
        </is>
      </c>
      <c r="B7" s="8" t="inlineStr">
        <is>
          <t>Mục tiêu hệ thống</t>
        </is>
      </c>
      <c r="C7" s="7" t="inlineStr">
        <is>
          <t>Khôi</t>
        </is>
      </c>
      <c r="D7" s="8" t="inlineStr">
        <is>
          <t>Hữu Khoa</t>
        </is>
      </c>
      <c r="E7" s="7" t="inlineStr">
        <is>
          <t>v1</t>
        </is>
      </c>
      <c r="F7" s="7" t="n">
        <v>2</v>
      </c>
      <c r="G7" s="20" t="inlineStr">
        <is>
          <t>Hoàn thành</t>
        </is>
      </c>
    </row>
    <row r="8">
      <c r="A8" s="7" t="inlineStr">
        <is>
          <t>1.2</t>
        </is>
      </c>
      <c r="B8" s="8" t="inlineStr">
        <is>
          <t>Quy tắc &amp; ràng buộc nghiệp vụ</t>
        </is>
      </c>
      <c r="C8" s="7" t="inlineStr">
        <is>
          <t>Khôi</t>
        </is>
      </c>
      <c r="D8" s="8" t="inlineStr">
        <is>
          <t>Cả 3 (BR mảng mình)</t>
        </is>
      </c>
      <c r="E8" s="7" t="inlineStr">
        <is>
          <t>v1</t>
        </is>
      </c>
      <c r="F8" s="7" t="n">
        <v>2</v>
      </c>
      <c r="G8" s="20" t="inlineStr">
        <is>
          <t>Hoàn thành</t>
        </is>
      </c>
    </row>
    <row r="9">
      <c r="A9" s="7" t="inlineStr">
        <is>
          <t>2</t>
        </is>
      </c>
      <c r="B9" s="8" t="inlineStr">
        <is>
          <t>Giới thiệu thiết kế CSDL</t>
        </is>
      </c>
      <c r="C9" s="7" t="inlineStr">
        <is>
          <t>Hữu Khoa</t>
        </is>
      </c>
      <c r="D9" s="8" t="inlineStr">
        <is>
          <t>–</t>
        </is>
      </c>
      <c r="E9" s="7" t="inlineStr">
        <is>
          <t>v2.1</t>
        </is>
      </c>
      <c r="F9" s="7" t="n">
        <v>4</v>
      </c>
      <c r="G9" s="20" t="inlineStr">
        <is>
          <t>Hoàn thành</t>
        </is>
      </c>
    </row>
    <row r="10">
      <c r="A10" s="7" t="inlineStr">
        <is>
          <t>2.1</t>
        </is>
      </c>
      <c r="B10" s="8" t="inlineStr">
        <is>
          <t>Mô hình khái niệm (ER/EER)</t>
        </is>
      </c>
      <c r="C10" s="7" t="inlineStr">
        <is>
          <t>Hữu Khoa</t>
        </is>
      </c>
      <c r="D10" s="8" t="inlineStr">
        <is>
          <t>Cả 3 (mảng mình)</t>
        </is>
      </c>
      <c r="E10" s="7" t="inlineStr">
        <is>
          <t>v2.1</t>
        </is>
      </c>
      <c r="F10" s="7" t="n">
        <v>4</v>
      </c>
      <c r="G10" s="20" t="inlineStr">
        <is>
          <t>Hoàn thành</t>
        </is>
      </c>
    </row>
    <row r="11">
      <c r="A11" s="7" t="inlineStr">
        <is>
          <t>2.2</t>
        </is>
      </c>
      <c r="B11" s="8" t="inlineStr">
        <is>
          <t>Ánh xạ lược đồ logic</t>
        </is>
      </c>
      <c r="C11" s="7" t="inlineStr">
        <is>
          <t>Hữu Khoa</t>
        </is>
      </c>
      <c r="D11" s="8" t="inlineStr">
        <is>
          <t>Cả 3 (mảng mình)</t>
        </is>
      </c>
      <c r="E11" s="7" t="inlineStr">
        <is>
          <t>v2.2</t>
        </is>
      </c>
      <c r="F11" s="7" t="n">
        <v>8</v>
      </c>
      <c r="G11" s="20" t="inlineStr">
        <is>
          <t>Hoàn thành</t>
        </is>
      </c>
    </row>
    <row r="12">
      <c r="A12" s="7" t="inlineStr">
        <is>
          <t>2.3</t>
        </is>
      </c>
      <c r="B12" s="8" t="inlineStr">
        <is>
          <t>Kiểm tra chuẩn hóa 1NF → 3NF/BCNF</t>
        </is>
      </c>
      <c r="C12" s="7" t="inlineStr">
        <is>
          <t>Đăng Khoa</t>
        </is>
      </c>
      <c r="D12" s="8" t="inlineStr">
        <is>
          <t>Cả 3 (mảng mình)</t>
        </is>
      </c>
      <c r="E12" s="7" t="inlineStr">
        <is>
          <t>v2.2</t>
        </is>
      </c>
      <c r="F12" s="7" t="n">
        <v>8</v>
      </c>
      <c r="G12" s="20" t="inlineStr">
        <is>
          <t>Hoàn thành</t>
        </is>
      </c>
    </row>
    <row r="13">
      <c r="A13" s="7" t="inlineStr">
        <is>
          <t>3</t>
        </is>
      </c>
      <c r="B13" s="8" t="inlineStr">
        <is>
          <t>Từ điển dữ liệu (ISO/IEC 11179)</t>
        </is>
      </c>
      <c r="C13" s="7" t="inlineStr">
        <is>
          <t>Hữu Khoa</t>
        </is>
      </c>
      <c r="D13" s="8" t="inlineStr">
        <is>
          <t>Cả 3 (bảng mình)</t>
        </is>
      </c>
      <c r="E13" s="7" t="inlineStr">
        <is>
          <t>v2.2</t>
        </is>
      </c>
      <c r="F13" s="7" t="n">
        <v>8</v>
      </c>
      <c r="G13" s="20" t="inlineStr">
        <is>
          <t>Hoàn thành</t>
        </is>
      </c>
    </row>
    <row r="14">
      <c r="A14" s="7" t="inlineStr">
        <is>
          <t>4.1</t>
        </is>
      </c>
      <c r="B14" s="8" t="inlineStr">
        <is>
          <t>DDL: bảng, view, index, trigger</t>
        </is>
      </c>
      <c r="C14" s="7" t="inlineStr">
        <is>
          <t>Hữu Khoa</t>
        </is>
      </c>
      <c r="D14" s="8" t="inlineStr">
        <is>
          <t>Cả 3 (mảng mình)</t>
        </is>
      </c>
      <c r="E14" s="7" t="inlineStr">
        <is>
          <t>v3</t>
        </is>
      </c>
      <c r="F14" s="7" t="n">
        <v>10</v>
      </c>
      <c r="G14" s="20" t="inlineStr">
        <is>
          <t>Hoàn thành</t>
        </is>
      </c>
    </row>
    <row r="15">
      <c r="A15" s="7" t="inlineStr">
        <is>
          <t>4.2</t>
        </is>
      </c>
      <c r="B15" s="8" t="inlineStr">
        <is>
          <t>Truy vấn nâng cao &amp; kiểm thử hiệu năng</t>
        </is>
      </c>
      <c r="C15" s="7" t="inlineStr">
        <is>
          <t>Đăng Khoa</t>
        </is>
      </c>
      <c r="D15" s="8" t="inlineStr">
        <is>
          <t>Cả 3 (4 truy vấn/người)</t>
        </is>
      </c>
      <c r="E15" s="7" t="inlineStr">
        <is>
          <t>v3</t>
        </is>
      </c>
      <c r="F15" s="7" t="n">
        <v>10</v>
      </c>
      <c r="G15" s="20" t="inlineStr">
        <is>
          <t>Hoàn thành</t>
        </is>
      </c>
    </row>
    <row r="16">
      <c r="A16" s="7" t="inlineStr">
        <is>
          <t>5.1</t>
        </is>
      </c>
      <c r="B16" s="8" t="inlineStr">
        <is>
          <t>Các bài kiểm tra ràng buộc</t>
        </is>
      </c>
      <c r="C16" s="7" t="inlineStr">
        <is>
          <t>Đăng Khoa</t>
        </is>
      </c>
      <c r="D16" s="8" t="inlineStr">
        <is>
          <t>Cả 3 (test mảng mình)</t>
        </is>
      </c>
      <c r="E16" s="7" t="inlineStr">
        <is>
          <t>v3</t>
        </is>
      </c>
      <c r="F16" s="7" t="n">
        <v>10</v>
      </c>
      <c r="G16" s="20" t="inlineStr">
        <is>
          <t>Hoàn thành</t>
        </is>
      </c>
    </row>
    <row r="17">
      <c r="A17" s="7" t="inlineStr">
        <is>
          <t>5.2</t>
        </is>
      </c>
      <c r="B17" s="8" t="inlineStr">
        <is>
          <t>Phân quyền RBAC (GRANT/REVOKE)</t>
        </is>
      </c>
      <c r="C17" s="7" t="inlineStr">
        <is>
          <t>Đăng Khoa</t>
        </is>
      </c>
      <c r="D17" s="8" t="inlineStr">
        <is>
          <t>Khôi</t>
        </is>
      </c>
      <c r="E17" s="7" t="inlineStr">
        <is>
          <t>v3</t>
        </is>
      </c>
      <c r="F17" s="7" t="n">
        <v>10</v>
      </c>
      <c r="G17" s="20" t="inlineStr">
        <is>
          <t>Hoàn thành</t>
        </is>
      </c>
    </row>
    <row r="18">
      <c r="A18" s="7" t="inlineStr">
        <is>
          <t>TLTK</t>
        </is>
      </c>
      <c r="B18" s="8" t="inlineStr">
        <is>
          <t>Tài liệu tham khảo (APA 7th)</t>
        </is>
      </c>
      <c r="C18" s="7" t="inlineStr">
        <is>
          <t>Khôi</t>
        </is>
      </c>
      <c r="D18" s="8" t="inlineStr">
        <is>
          <t>Cả 3</t>
        </is>
      </c>
      <c r="E18" s="7" t="inlineStr">
        <is>
          <t>v4</t>
        </is>
      </c>
      <c r="F18" s="7" t="n">
        <v>12</v>
      </c>
      <c r="G18" s="20" t="inlineStr">
        <is>
          <t>Chưa bắt đầu</t>
        </is>
      </c>
    </row>
    <row r="19">
      <c r="A19" s="7" t="inlineStr">
        <is>
          <t>Slide</t>
        </is>
      </c>
      <c r="B19" s="8" t="inlineStr">
        <is>
          <t>Slide thuyết trình + kịch bản demo</t>
        </is>
      </c>
      <c r="C19" s="7" t="inlineStr">
        <is>
          <t>Khôi</t>
        </is>
      </c>
      <c r="D19" s="8" t="inlineStr">
        <is>
          <t>Cả 3 (slide mảng mình)</t>
        </is>
      </c>
      <c r="E19" s="7" t="inlineStr">
        <is>
          <t>–</t>
        </is>
      </c>
      <c r="F19" s="7" t="n">
        <v>11</v>
      </c>
      <c r="G19" s="20" t="inlineStr">
        <is>
          <t>Chưa bắt đầu</t>
        </is>
      </c>
    </row>
  </sheetData>
  <dataValidations count="1">
    <dataValidation sqref="G5:G19" showDropDown="0" showInputMessage="0" showErrorMessage="0" allowBlank="1" type="list">
      <formula1>"Chưa bắt đầu,Đang làm,Hoàn thành,Trễ hạn"</formula1>
    </dataValidation>
  </dataValidation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0"/>
  <sheetViews>
    <sheetView showGridLines="0" workbookViewId="0">
      <pane ySplit="4" topLeftCell="A8" activePane="bottomLeft" state="frozen"/>
      <selection pane="bottomLeft" activeCell="A1" sqref="A1"/>
    </sheetView>
  </sheetViews>
  <sheetFormatPr baseColWidth="10" defaultColWidth="8.83203125" defaultRowHeight="15"/>
  <cols>
    <col width="7" customWidth="1" style="43" min="1" max="1"/>
    <col width="12" customWidth="1" style="43" min="2" max="2"/>
    <col width="14" customWidth="1" style="43" min="3" max="3"/>
    <col width="44" customWidth="1" style="43" min="4" max="4"/>
    <col width="40" customWidth="1" style="43" min="5" max="5"/>
    <col width="34" customWidth="1" style="43" min="6" max="6"/>
    <col width="30" customWidth="1" style="43" min="7" max="7"/>
  </cols>
  <sheetData>
    <row r="1" ht="18" customHeight="1" s="43">
      <c r="A1" s="1" t="inlineStr">
        <is>
          <t>Nhật ký tiến độ hàng tuần</t>
        </is>
      </c>
    </row>
    <row r="2">
      <c r="A2" s="2" t="inlineStr">
        <is>
          <t>Mỗi thành viên thêm 1 dòng/tuần trước buổi họp. Dòng 5 là ví dụ mẫu – xóa hoặc giữ làm tham khảo.</t>
        </is>
      </c>
    </row>
    <row r="4">
      <c r="A4" s="6" t="inlineStr">
        <is>
          <t>Tuần</t>
        </is>
      </c>
      <c r="B4" s="6" t="inlineStr">
        <is>
          <t>Ngày</t>
        </is>
      </c>
      <c r="C4" s="6" t="inlineStr">
        <is>
          <t>Thành viên</t>
        </is>
      </c>
      <c r="D4" s="6" t="inlineStr">
        <is>
          <t>Đã làm tuần này (mã việc)</t>
        </is>
      </c>
      <c r="E4" s="6" t="inlineStr">
        <is>
          <t>Kế hoạch tuần sau</t>
        </is>
      </c>
      <c r="F4" s="6" t="inlineStr">
        <is>
          <t>Vướng mắc / cần hỗ trợ</t>
        </is>
      </c>
      <c r="G4" s="6" t="inlineStr">
        <is>
          <t>Link sản phẩm (commit, file)</t>
        </is>
      </c>
    </row>
    <row r="5" ht="28" customHeight="1" s="43">
      <c r="A5" s="28" t="n">
        <v>1</v>
      </c>
      <c r="B5" s="29" t="n"/>
      <c r="C5" s="28" t="inlineStr">
        <is>
          <t>Hữu Khoa</t>
        </is>
      </c>
      <c r="D5" s="30" t="inlineStr">
        <is>
          <t>T02: tạo repo, README cài PostgreSQL. T04: khảo sát 2 phòng khám, ghi 12 quy tắc ca trực</t>
        </is>
      </c>
      <c r="E5" s="30" t="inlineStr">
        <is>
          <t>T07: viết BR-A01…A10</t>
        </is>
      </c>
      <c r="F5" s="30" t="inlineStr">
        <is>
          <t>Chưa rõ điều dưỡng có cần phân lớp riêng không – hỏi GV</t>
        </is>
      </c>
      <c r="G5" s="30" t="inlineStr">
        <is>
          <t>github.com/…/commit/…</t>
        </is>
      </c>
    </row>
    <row r="6" ht="98" customHeight="1" s="43">
      <c r="A6" s="20" t="n">
        <v>1</v>
      </c>
      <c r="B6" s="31" t="n">
        <v>46303</v>
      </c>
      <c r="C6" s="20" t="inlineStr">
        <is>
          <t>Khôi</t>
        </is>
      </c>
      <c r="D6" s="22" t="inlineStr">
        <is>
          <t>T02: cấu trúc repo, README cài PostgreSQL 16 + draw.io, gỡ file nhạy cảm khỏi repo public
T03: khảo sát mảng B (Medpro, YouMed, BookingCare), đề xuất 6 thực thể
T08: BR-B01…B11 kèm cơ chế và cách kiểm chứng; chạy thử EXCLUDE chống trùng lịch trên PG16
T06: báo cáo mục 1 và 1.1 (MT-01…07)</t>
        </is>
      </c>
      <c r="E6" s="22" t="inlineStr">
        <is>
          <t>T10: gộp mục 1.2 (BR mảng A, C), review chéo, nộp báo cáo v1</t>
        </is>
      </c>
      <c r="F6" s="22" t="inlineStr">
        <is>
          <t>Hữu Khoa: chốt phương án ánh xạ lớp bác sĩ đa khoa (ảnh hưởng BR-B09)
Cả nhóm: đồng ý bỏ BAO_HIEM_Y_TE khỏi mảng B
Đăng Khoa: giữ số hiệu BR-C01…C05 vì MT-04, MT-05 đang tham chiếu</t>
        </is>
      </c>
      <c r="G6" s="22" t="inlineStr">
        <is>
          <t>github.com/khoiln218/telemedicine
README.md
docs/khao-sat/T03_KhaoSat_MangB.md
docs/br/T08_BR_MangB.md
docs/…_v0.docx (mục 1, 1.1)</t>
        </is>
      </c>
    </row>
    <row r="7" ht="98" customHeight="1" s="43">
      <c r="A7" s="20" t="n">
        <v>2</v>
      </c>
      <c r="B7" s="31" t="n">
        <v>46309</v>
      </c>
      <c r="C7" s="20" t="inlineStr">
        <is>
          <t>Khôi</t>
        </is>
      </c>
      <c r="D7" s="22" t="inlineStr">
        <is>
          <t>T10: review chéo BR mảng A (BR_MangA.md) và C (T09), ghi điểm cần sửa vào kế hoạch; gộp mục 1.2 + 1.2.4 vào báo cáo v1 (docx đổi tên _v1)</t>
        </is>
      </c>
      <c r="E7" s="22" t="inlineStr">
        <is>
          <t>T10: chốt 1.2 với Hữu Khoa, Đăng Khoa, nộp v1 + báo cáo tiến độ. T12: vẽ ER/EER mảng B</t>
        </is>
      </c>
      <c r="F7" s="22" t="inlineStr">
        <is>
          <t>Hữu Khoa: xác nhận BR-A01…A08 theo review (giữ số hiệu v0), review BR mảng B
Đăng Khoa: sửa T09 theo review</t>
        </is>
      </c>
      <c r="G7" s="22" t="inlineStr">
        <is>
          <t>docs/INT1313_TX_G5_DeTai05_Telemedicine_v1.docx
docs/KeHoach_G5_Telemedicine.xlsx
nhánh member/Khoi</t>
        </is>
      </c>
    </row>
    <row r="8" ht="210" customHeight="1" s="43">
      <c r="A8" s="20" t="n">
        <v>3</v>
      </c>
      <c r="B8" s="31" t="n">
        <v>46314</v>
      </c>
      <c r="C8" s="20" t="inlineStr">
        <is>
          <t>Khôi</t>
        </is>
      </c>
      <c r="D8" s="22" t="inlineStr">
        <is>
          <t>T13, T15: review ERD và truy vết mảng C (PR #4), sửa theo review
Đơn giản hóa phạm vi A, B, C theo đề bài: bỏ NHAN_VIEN_Y_TE/DIEU_DUONG/LE_TAN, CO_SO_KHAM, HOA_DON, HO_SO_BENH_AN
T03, T04, T05: khảo sát theo ISO/IEC/IEEE 29148 (T04 soạn thay Hữu Khoa)
T07, T08, T09: quy tắc nghiệp vụ theo Business Rules Manifesto/SBVR; mảng B còn BR-B01…B07
T11, T12, T13, T14: ERD A, B, C và ERD tổng theo ký hiệu Chen/Elmasri (ERD A, ERD tổng soạn thay Hữu Khoa)
T15: ma trận truy vết hai chiều A, B, C
T17: báo cáo v2.1 có Giới thiệu tóm tắt, mục 1, 1.2, 2, 2.1 hoàn chỉnh, định dạng theo mẫu</t>
        </is>
      </c>
      <c r="E8" s="22" t="inlineStr">
        <is>
          <t>T17: review chéo, điền ngày nộp, nộp v2.1 + báo cáo tiến độ</t>
        </is>
      </c>
      <c r="F8" s="22" t="inlineStr">
        <is>
          <t>Hữu Khoa: review T04, T07, T11, T14 do Khôi soạn
Hữu Khoa, Đăng Khoa: xác nhận phần thu gọn mảng A, C
Cả nhóm: chốt tên khóa ma_bac_si, ma_chuyen_khoa; phương án ánh xạ phân lớp bác sĩ (8A/8B/8C)</t>
        </is>
      </c>
      <c r="G8" s="22" t="inlineStr">
        <is>
          <t>nhánh Khoi
docs/khao-sat/T03, T04, T05
docs/br/T07, T08, T09
erd/A, B, C, ERD_tong (.drawio, .png)
docs/traceability/T15_Traceability.md
docs/INT1313_TX_G5_DeTai05_Telemedicine_v2.1.docx</t>
        </is>
      </c>
    </row>
    <row r="9" ht="384" customHeight="1" s="43">
      <c r="A9" s="20" t="n">
        <v>4</v>
      </c>
      <c r="B9" s="31" t="n">
        <v>46322</v>
      </c>
      <c r="C9" s="20" t="inlineStr">
        <is>
          <t>Khôi</t>
        </is>
      </c>
      <c r="D9" s="22" t="inlineStr">
        <is>
          <t>T20: ánh xạ mảng B sang lược đồ quan hệ (Elmasri bước 1–8): 4 bảng, PK/FK, UNIQUE; phân lớp LICH_HEN chọn 8C; truy vết ERD → lược đồ, quy tắc còn lại cho cài đặt
T24: FD và khóa ứng viên 4 bảng mảng B, ghi FD đã xét và loại; nêu 2 điểm cho T27/T30 (FD có điều kiện trên cột UNIQUE cho phép NULL; TAI_KHOAN.vai_tro trùng NHAN_VIEN.loai_nv)
T27: chứng minh 1NF → BCNF 4 bảng mảng B, không phải tách; ghi các thiết kế đã tránh vi phạm 3NF
T33 (làm sớm): DDL mảng B, chạy thử 17 ca vi phạm trên PG16 đều bị chặn
T37 (làm sớm): 4 trigger + view v_lich_hen_hom_nay mảng B, chạy thử 17 ca vi phạm đều bị chặn
T30 (phần B): đối chiếu T20, T24, T27 với DDL, trigger; sửa T20 (FK kép giấy – bệnh nhân); lập danh sách lỗi, bảng quy tắc → cơ chế
T41 (làm sớm): 4 truy vấn mảng B, kiểm chứng trên dữ liệu thử đi qua trigger
T31 (nháp v2.2): điền phần B mục 2.2, 2.3, 3 vào báo cáo (đổi tên file sang _v2.2); bổ sung CHECK email, ngày sinh cho benh_nhan theo 1.2.4
T46 (phần B): điền mục 4.1, 4.2, 5.1 phần B vào báo cáo; T43 (phần B): sql/tests_B.sql 49/49 đạt; Q05–Q08 gói dòng ≤ 80 ký tự, đối chiếu lại khớp
28/10: cập nhật kế hoạch mảng A, C; T29: gộp từ điển dữ liệu mục 3 đủ 19 bảng, sửa bảng A lệch cột
T30: review chéo A, C (chạy trên A_schema chính thức), sửa L07–L14 (SECURITY DEFINER cho trigger, CASCADE mảng A, khóa ứng viên ten_hoat_chat…), chốt C1 (giữ vai_tro, bỏ "đổi vai trò" khỏi BR-B10), C5 (vẽ GHI_KHÁM, GHI_ĐƠN); tests_B 50/50, tests_C 15/15
T31: hoàn thiện, nộp báo cáo v2.2 (2.2, 2.3 phần C, Hình 2.2 lược đồ quan hệ)</t>
        </is>
      </c>
      <c r="E9" s="22" t="inlineStr">
        <is>
          <t>T39: seed A, B (dữ liệu thử T30 làm điểm khởi đầu), gộp seed.sql với Đăng Khoa. T46: điền 4.1–5 phần B, nhắc A, C đưa nội dung vào docx; sửa bảng trigger 4.1.4 còn tên trigger C cũ. T47: khung Flask</t>
        </is>
      </c>
      <c r="F9" s="22" t="inlineStr">
        <is>
          <t>Hữu Khoa: review T29 (6 bảng A viết lại), T30 L09, L10, L13, L14 (đã sửa thay), T35 nối C_schema.sql vào schema.sql
Đăng Khoa: review T30 L08, L11, L12 (đã sửa thay), ERD C mới (GHI_KHÁM, GHI_ĐƠN); T45 GRANT A, B; đưa nháp T46 phần C vào docx</t>
        </is>
      </c>
      <c r="G9" s="22" t="inlineStr">
        <is>
          <t>docs/5_anh-xa/T20_AnhXa_MangB.md
commit 78857c7, nhánh Khoi
docs/6_chuan-hoa/T24_FD_MangB.md
docs/6_chuan-hoa/T27_ChuanHoa_MangB.md
sql/B_schema.sql
sql/B_trigger_view.sql
docs/6_chuan-hoa/T30_ReviewCheo.md
sql/queries_B.sql
docs/INT1313_TX_G5_DeTai05_Telemedicine_v2.2.docx
sql/tests_B.sql
docs/6_chuan-hoa/T30_ReviewCheo.md
docs/3_erd/C.png, ERD_tong.png, LuocDo_QuanHe.png
sql/*_trigger_view.sql, tests_B.sql, tests_C.sql</t>
        </is>
      </c>
    </row>
    <row r="10">
      <c r="A10" s="20" t="n"/>
      <c r="B10" s="31" t="n"/>
      <c r="C10" s="20" t="n"/>
      <c r="D10" s="22" t="n"/>
      <c r="E10" s="22" t="n"/>
      <c r="F10" s="22" t="n"/>
      <c r="G10" s="22" t="n"/>
    </row>
    <row r="11">
      <c r="A11" s="20" t="n"/>
      <c r="B11" s="31" t="n"/>
      <c r="C11" s="20" t="n"/>
      <c r="D11" s="22" t="n"/>
      <c r="E11" s="22" t="n"/>
      <c r="F11" s="22" t="n"/>
      <c r="G11" s="22" t="n"/>
    </row>
    <row r="12">
      <c r="A12" s="20" t="n"/>
      <c r="B12" s="31" t="n"/>
      <c r="C12" s="20" t="n"/>
      <c r="D12" s="22" t="n"/>
      <c r="E12" s="22" t="n"/>
      <c r="F12" s="22" t="n"/>
      <c r="G12" s="22" t="n"/>
    </row>
    <row r="13">
      <c r="A13" s="20" t="n"/>
      <c r="B13" s="31" t="n"/>
      <c r="C13" s="20" t="n"/>
      <c r="D13" s="22" t="n"/>
      <c r="E13" s="22" t="n"/>
      <c r="F13" s="22" t="n"/>
      <c r="G13" s="22" t="n"/>
    </row>
    <row r="14">
      <c r="A14" s="20" t="n"/>
      <c r="B14" s="31" t="n"/>
      <c r="C14" s="20" t="n"/>
      <c r="D14" s="22" t="n"/>
      <c r="E14" s="22" t="n"/>
      <c r="F14" s="22" t="n"/>
      <c r="G14" s="22" t="n"/>
    </row>
    <row r="15">
      <c r="A15" s="20" t="n"/>
      <c r="B15" s="31" t="n"/>
      <c r="C15" s="20" t="n"/>
      <c r="D15" s="22" t="n"/>
      <c r="E15" s="22" t="n"/>
      <c r="F15" s="22" t="n"/>
      <c r="G15" s="22" t="n"/>
    </row>
    <row r="16">
      <c r="A16" s="20" t="n"/>
      <c r="B16" s="31" t="n"/>
      <c r="C16" s="20" t="n"/>
      <c r="D16" s="22" t="n"/>
      <c r="E16" s="22" t="n"/>
      <c r="F16" s="22" t="n"/>
      <c r="G16" s="22" t="n"/>
    </row>
    <row r="17">
      <c r="A17" s="20" t="n"/>
      <c r="B17" s="31" t="n"/>
      <c r="C17" s="20" t="n"/>
      <c r="D17" s="22" t="n"/>
      <c r="E17" s="22" t="n"/>
      <c r="F17" s="22" t="n"/>
      <c r="G17" s="22" t="n"/>
    </row>
    <row r="18">
      <c r="A18" s="20" t="n"/>
      <c r="B18" s="31" t="n"/>
      <c r="C18" s="20" t="n"/>
      <c r="D18" s="22" t="n"/>
      <c r="E18" s="22" t="n"/>
      <c r="F18" s="22" t="n"/>
      <c r="G18" s="22" t="n"/>
    </row>
    <row r="19">
      <c r="A19" s="20" t="n"/>
      <c r="B19" s="31" t="n"/>
      <c r="C19" s="20" t="n"/>
      <c r="D19" s="22" t="n"/>
      <c r="E19" s="22" t="n"/>
      <c r="F19" s="22" t="n"/>
      <c r="G19" s="22" t="n"/>
    </row>
    <row r="20">
      <c r="A20" s="20" t="n"/>
      <c r="B20" s="31" t="n"/>
      <c r="C20" s="20" t="n"/>
      <c r="D20" s="22" t="n"/>
      <c r="E20" s="22" t="n"/>
      <c r="F20" s="22" t="n"/>
      <c r="G20" s="22" t="n"/>
    </row>
    <row r="21">
      <c r="A21" s="20" t="n"/>
      <c r="B21" s="31" t="n"/>
      <c r="C21" s="20" t="n"/>
      <c r="D21" s="22" t="n"/>
      <c r="E21" s="22" t="n"/>
      <c r="F21" s="22" t="n"/>
      <c r="G21" s="22" t="n"/>
    </row>
    <row r="22">
      <c r="A22" s="20" t="n"/>
      <c r="B22" s="31" t="n"/>
      <c r="C22" s="20" t="n"/>
      <c r="D22" s="22" t="n"/>
      <c r="E22" s="22" t="n"/>
      <c r="F22" s="22" t="n"/>
      <c r="G22" s="22" t="n"/>
    </row>
    <row r="23">
      <c r="A23" s="20" t="n"/>
      <c r="B23" s="31" t="n"/>
      <c r="C23" s="20" t="n"/>
      <c r="D23" s="22" t="n"/>
      <c r="E23" s="22" t="n"/>
      <c r="F23" s="22" t="n"/>
      <c r="G23" s="22" t="n"/>
    </row>
    <row r="24">
      <c r="A24" s="20" t="n"/>
      <c r="B24" s="31" t="n"/>
      <c r="C24" s="20" t="n"/>
      <c r="D24" s="22" t="n"/>
      <c r="E24" s="22" t="n"/>
      <c r="F24" s="22" t="n"/>
      <c r="G24" s="22" t="n"/>
    </row>
    <row r="25">
      <c r="A25" s="20" t="n"/>
      <c r="B25" s="31" t="n"/>
      <c r="C25" s="20" t="n"/>
      <c r="D25" s="22" t="n"/>
      <c r="E25" s="22" t="n"/>
      <c r="F25" s="22" t="n"/>
      <c r="G25" s="22" t="n"/>
    </row>
    <row r="26">
      <c r="A26" s="20" t="n"/>
      <c r="B26" s="31" t="n"/>
      <c r="C26" s="20" t="n"/>
      <c r="D26" s="22" t="n"/>
      <c r="E26" s="22" t="n"/>
      <c r="F26" s="22" t="n"/>
      <c r="G26" s="22" t="n"/>
    </row>
    <row r="27">
      <c r="A27" s="20" t="n"/>
      <c r="B27" s="31" t="n"/>
      <c r="C27" s="20" t="n"/>
      <c r="D27" s="22" t="n"/>
      <c r="E27" s="22" t="n"/>
      <c r="F27" s="22" t="n"/>
      <c r="G27" s="22" t="n"/>
    </row>
    <row r="28">
      <c r="A28" s="20" t="n"/>
      <c r="B28" s="31" t="n"/>
      <c r="C28" s="20" t="n"/>
      <c r="D28" s="22" t="n"/>
      <c r="E28" s="22" t="n"/>
      <c r="F28" s="22" t="n"/>
      <c r="G28" s="22" t="n"/>
    </row>
    <row r="29">
      <c r="A29" s="20" t="n"/>
      <c r="B29" s="31" t="n"/>
      <c r="C29" s="20" t="n"/>
      <c r="D29" s="22" t="n"/>
      <c r="E29" s="22" t="n"/>
      <c r="F29" s="22" t="n"/>
      <c r="G29" s="22" t="n"/>
    </row>
    <row r="30">
      <c r="A30" s="20" t="n"/>
      <c r="B30" s="31" t="n"/>
      <c r="C30" s="20" t="n"/>
      <c r="D30" s="22" t="n"/>
      <c r="E30" s="22" t="n"/>
      <c r="F30" s="22" t="n"/>
      <c r="G30" s="22" t="n"/>
    </row>
    <row r="31">
      <c r="A31" s="20" t="n"/>
      <c r="B31" s="31" t="n"/>
      <c r="C31" s="20" t="n"/>
      <c r="D31" s="22" t="n"/>
      <c r="E31" s="22" t="n"/>
      <c r="F31" s="22" t="n"/>
      <c r="G31" s="22" t="n"/>
    </row>
    <row r="32">
      <c r="A32" s="20" t="n"/>
      <c r="B32" s="31" t="n"/>
      <c r="C32" s="20" t="n"/>
      <c r="D32" s="22" t="n"/>
      <c r="E32" s="22" t="n"/>
      <c r="F32" s="22" t="n"/>
      <c r="G32" s="22" t="n"/>
    </row>
    <row r="33">
      <c r="A33" s="20" t="n"/>
      <c r="B33" s="31" t="n"/>
      <c r="C33" s="20" t="n"/>
      <c r="D33" s="22" t="n"/>
      <c r="E33" s="22" t="n"/>
      <c r="F33" s="22" t="n"/>
      <c r="G33" s="22" t="n"/>
    </row>
    <row r="34">
      <c r="A34" s="20" t="n"/>
      <c r="B34" s="31" t="n"/>
      <c r="C34" s="20" t="n"/>
      <c r="D34" s="22" t="n"/>
      <c r="E34" s="22" t="n"/>
      <c r="F34" s="22" t="n"/>
      <c r="G34" s="22" t="n"/>
    </row>
    <row r="35">
      <c r="A35" s="20" t="n"/>
      <c r="B35" s="31" t="n"/>
      <c r="C35" s="20" t="n"/>
      <c r="D35" s="22" t="n"/>
      <c r="E35" s="22" t="n"/>
      <c r="F35" s="22" t="n"/>
      <c r="G35" s="22" t="n"/>
    </row>
    <row r="36">
      <c r="A36" s="20" t="n"/>
      <c r="B36" s="31" t="n"/>
      <c r="C36" s="20" t="n"/>
      <c r="D36" s="22" t="n"/>
      <c r="E36" s="22" t="n"/>
      <c r="F36" s="22" t="n"/>
      <c r="G36" s="22" t="n"/>
    </row>
    <row r="37">
      <c r="A37" s="20" t="n"/>
      <c r="B37" s="31" t="n"/>
      <c r="C37" s="20" t="n"/>
      <c r="D37" s="22" t="n"/>
      <c r="E37" s="22" t="n"/>
      <c r="F37" s="22" t="n"/>
      <c r="G37" s="22" t="n"/>
    </row>
    <row r="38">
      <c r="A38" s="20" t="n"/>
      <c r="B38" s="31" t="n"/>
      <c r="C38" s="20" t="n"/>
      <c r="D38" s="22" t="n"/>
      <c r="E38" s="22" t="n"/>
      <c r="F38" s="22" t="n"/>
      <c r="G38" s="22" t="n"/>
    </row>
    <row r="39">
      <c r="A39" s="20" t="n"/>
      <c r="B39" s="31" t="n"/>
      <c r="C39" s="20" t="n"/>
      <c r="D39" s="22" t="n"/>
      <c r="E39" s="22" t="n"/>
      <c r="F39" s="22" t="n"/>
      <c r="G39" s="22" t="n"/>
    </row>
    <row r="40">
      <c r="A40" s="20" t="n"/>
      <c r="B40" s="31" t="n"/>
      <c r="C40" s="20" t="n"/>
      <c r="D40" s="22" t="n"/>
      <c r="E40" s="22" t="n"/>
      <c r="F40" s="22" t="n"/>
      <c r="G40" s="22" t="n"/>
    </row>
    <row r="41">
      <c r="A41" s="20" t="n"/>
      <c r="B41" s="31" t="n"/>
      <c r="C41" s="20" t="n"/>
      <c r="D41" s="22" t="n"/>
      <c r="E41" s="22" t="n"/>
      <c r="F41" s="22" t="n"/>
      <c r="G41" s="22" t="n"/>
    </row>
    <row r="42">
      <c r="B42" s="32" t="n"/>
    </row>
    <row r="43">
      <c r="B43" s="32" t="n"/>
    </row>
    <row r="44">
      <c r="B44" s="32" t="n"/>
    </row>
    <row r="45">
      <c r="B45" s="32" t="n"/>
    </row>
    <row r="46">
      <c r="B46" s="32" t="n"/>
    </row>
    <row r="47">
      <c r="B47" s="32" t="n"/>
    </row>
    <row r="48">
      <c r="B48" s="32" t="n"/>
    </row>
    <row r="49">
      <c r="B49" s="32" t="n"/>
    </row>
    <row r="50">
      <c r="B50" s="32" t="n"/>
    </row>
    <row r="51">
      <c r="B51" s="32" t="n"/>
    </row>
    <row r="52">
      <c r="B52" s="32" t="n"/>
    </row>
    <row r="53">
      <c r="B53" s="32" t="n"/>
    </row>
    <row r="54">
      <c r="B54" s="32" t="n"/>
    </row>
    <row r="55">
      <c r="B55" s="32" t="n"/>
    </row>
    <row r="56">
      <c r="B56" s="32" t="n"/>
    </row>
    <row r="57">
      <c r="B57" s="32" t="n"/>
    </row>
    <row r="58">
      <c r="B58" s="32" t="n"/>
    </row>
    <row r="59">
      <c r="B59" s="32" t="n"/>
    </row>
    <row r="60">
      <c r="B60" s="32" t="n"/>
    </row>
    <row r="61">
      <c r="B61" s="32" t="n"/>
    </row>
    <row r="62">
      <c r="B62" s="32" t="n"/>
    </row>
    <row r="63">
      <c r="B63" s="32" t="n"/>
    </row>
    <row r="64">
      <c r="B64" s="32" t="n"/>
    </row>
    <row r="65">
      <c r="B65" s="32" t="n"/>
    </row>
    <row r="66">
      <c r="B66" s="32" t="n"/>
    </row>
    <row r="67">
      <c r="B67" s="32" t="n"/>
    </row>
    <row r="68">
      <c r="B68" s="32" t="n"/>
    </row>
    <row r="69">
      <c r="B69" s="32" t="n"/>
    </row>
    <row r="70">
      <c r="B70" s="32" t="n"/>
    </row>
    <row r="71">
      <c r="B71" s="32" t="n"/>
    </row>
    <row r="72">
      <c r="B72" s="32" t="n"/>
    </row>
    <row r="73">
      <c r="B73" s="32" t="n"/>
    </row>
    <row r="74">
      <c r="B74" s="32" t="n"/>
    </row>
    <row r="75">
      <c r="B75" s="32" t="n"/>
    </row>
    <row r="76">
      <c r="B76" s="32" t="n"/>
    </row>
    <row r="77">
      <c r="B77" s="32" t="n"/>
    </row>
    <row r="78">
      <c r="B78" s="32" t="n"/>
    </row>
    <row r="79">
      <c r="B79" s="32" t="n"/>
    </row>
    <row r="80">
      <c r="B80" s="32" t="n"/>
    </row>
    <row r="81">
      <c r="B81" s="32" t="n"/>
    </row>
    <row r="82">
      <c r="B82" s="32" t="n"/>
    </row>
    <row r="83">
      <c r="B83" s="32" t="n"/>
    </row>
    <row r="84">
      <c r="B84" s="32" t="n"/>
    </row>
    <row r="85">
      <c r="B85" s="32" t="n"/>
    </row>
    <row r="86">
      <c r="B86" s="32" t="n"/>
    </row>
    <row r="87">
      <c r="B87" s="32" t="n"/>
    </row>
    <row r="88">
      <c r="B88" s="32" t="n"/>
    </row>
    <row r="89">
      <c r="B89" s="32" t="n"/>
    </row>
    <row r="90">
      <c r="B90" s="32" t="n"/>
    </row>
    <row r="91">
      <c r="B91" s="32" t="n"/>
    </row>
    <row r="92">
      <c r="B92" s="32" t="n"/>
    </row>
    <row r="93">
      <c r="B93" s="32" t="n"/>
    </row>
    <row r="94">
      <c r="B94" s="32" t="n"/>
    </row>
    <row r="95">
      <c r="B95" s="32" t="n"/>
    </row>
    <row r="96">
      <c r="B96" s="32" t="n"/>
    </row>
    <row r="97">
      <c r="B97" s="32" t="n"/>
    </row>
    <row r="98">
      <c r="B98" s="32" t="n"/>
    </row>
    <row r="99">
      <c r="B99" s="32" t="n"/>
    </row>
    <row r="100">
      <c r="B100" s="32" t="n"/>
    </row>
    <row r="101">
      <c r="B101" s="32" t="n"/>
    </row>
    <row r="102">
      <c r="B102" s="32" t="n"/>
    </row>
    <row r="103">
      <c r="B103" s="32" t="n"/>
    </row>
    <row r="104">
      <c r="B104" s="32" t="n"/>
    </row>
    <row r="105">
      <c r="B105" s="32" t="n"/>
    </row>
    <row r="106">
      <c r="B106" s="32" t="n"/>
    </row>
    <row r="107">
      <c r="B107" s="32" t="n"/>
    </row>
    <row r="108">
      <c r="B108" s="32" t="n"/>
    </row>
    <row r="109">
      <c r="B109" s="32" t="n"/>
    </row>
    <row r="110">
      <c r="B110" s="32" t="n"/>
    </row>
    <row r="111">
      <c r="B111" s="32" t="n"/>
    </row>
    <row r="112">
      <c r="B112" s="32" t="n"/>
    </row>
    <row r="113">
      <c r="B113" s="32" t="n"/>
    </row>
    <row r="114">
      <c r="B114" s="32" t="n"/>
    </row>
    <row r="115">
      <c r="B115" s="32" t="n"/>
    </row>
    <row r="116">
      <c r="B116" s="32" t="n"/>
    </row>
    <row r="117">
      <c r="B117" s="32" t="n"/>
    </row>
    <row r="118">
      <c r="B118" s="32" t="n"/>
    </row>
    <row r="119">
      <c r="B119" s="32" t="n"/>
    </row>
    <row r="120">
      <c r="B120" s="32" t="n"/>
    </row>
    <row r="121">
      <c r="B121" s="32" t="n"/>
    </row>
    <row r="122">
      <c r="B122" s="32" t="n"/>
    </row>
    <row r="123">
      <c r="B123" s="32" t="n"/>
    </row>
    <row r="124">
      <c r="B124" s="32" t="n"/>
    </row>
    <row r="125">
      <c r="B125" s="32" t="n"/>
    </row>
    <row r="126">
      <c r="B126" s="32" t="n"/>
    </row>
    <row r="127">
      <c r="B127" s="32" t="n"/>
    </row>
    <row r="128">
      <c r="B128" s="32" t="n"/>
    </row>
    <row r="129">
      <c r="B129" s="32" t="n"/>
    </row>
    <row r="130">
      <c r="B130" s="32" t="n"/>
    </row>
    <row r="131">
      <c r="B131" s="32" t="n"/>
    </row>
    <row r="132">
      <c r="B132" s="32" t="n"/>
    </row>
    <row r="133">
      <c r="B133" s="32" t="n"/>
    </row>
    <row r="134">
      <c r="B134" s="32" t="n"/>
    </row>
    <row r="135">
      <c r="B135" s="32" t="n"/>
    </row>
    <row r="136">
      <c r="B136" s="32" t="n"/>
    </row>
    <row r="137">
      <c r="B137" s="32" t="n"/>
    </row>
    <row r="138">
      <c r="B138" s="32" t="n"/>
    </row>
    <row r="139">
      <c r="B139" s="32" t="n"/>
    </row>
    <row r="140">
      <c r="B140" s="32" t="n"/>
    </row>
    <row r="141">
      <c r="B141" s="32" t="n"/>
    </row>
    <row r="142">
      <c r="B142" s="32" t="n"/>
    </row>
    <row r="143">
      <c r="B143" s="32" t="n"/>
    </row>
    <row r="144">
      <c r="B144" s="32" t="n"/>
    </row>
    <row r="145">
      <c r="B145" s="32" t="n"/>
    </row>
    <row r="146">
      <c r="B146" s="32" t="n"/>
    </row>
    <row r="147">
      <c r="B147" s="32" t="n"/>
    </row>
    <row r="148">
      <c r="B148" s="32" t="n"/>
    </row>
    <row r="149">
      <c r="B149" s="32" t="n"/>
    </row>
    <row r="150">
      <c r="B150" s="32" t="n"/>
    </row>
    <row r="151">
      <c r="B151" s="32" t="n"/>
    </row>
    <row r="152">
      <c r="B152" s="32" t="n"/>
    </row>
    <row r="153">
      <c r="B153" s="32" t="n"/>
    </row>
    <row r="154">
      <c r="B154" s="32" t="n"/>
    </row>
    <row r="155">
      <c r="B155" s="32" t="n"/>
    </row>
    <row r="156">
      <c r="B156" s="32" t="n"/>
    </row>
    <row r="157">
      <c r="B157" s="32" t="n"/>
    </row>
    <row r="158">
      <c r="B158" s="32" t="n"/>
    </row>
    <row r="159">
      <c r="B159" s="32" t="n"/>
    </row>
    <row r="160">
      <c r="B160" s="32" t="n"/>
    </row>
    <row r="161">
      <c r="B161" s="32" t="n"/>
    </row>
    <row r="162">
      <c r="B162" s="32" t="n"/>
    </row>
    <row r="163">
      <c r="B163" s="32" t="n"/>
    </row>
    <row r="164">
      <c r="B164" s="32" t="n"/>
    </row>
    <row r="165">
      <c r="B165" s="32" t="n"/>
    </row>
    <row r="166">
      <c r="B166" s="32" t="n"/>
    </row>
    <row r="167">
      <c r="B167" s="32" t="n"/>
    </row>
    <row r="168">
      <c r="B168" s="32" t="n"/>
    </row>
    <row r="169">
      <c r="B169" s="32" t="n"/>
    </row>
    <row r="170">
      <c r="B170" s="32" t="n"/>
    </row>
    <row r="171">
      <c r="B171" s="32" t="n"/>
    </row>
    <row r="172">
      <c r="B172" s="32" t="n"/>
    </row>
    <row r="173">
      <c r="B173" s="32" t="n"/>
    </row>
    <row r="174">
      <c r="B174" s="32" t="n"/>
    </row>
    <row r="175">
      <c r="B175" s="32" t="n"/>
    </row>
    <row r="176">
      <c r="B176" s="32" t="n"/>
    </row>
    <row r="177">
      <c r="B177" s="32" t="n"/>
    </row>
    <row r="178">
      <c r="B178" s="32" t="n"/>
    </row>
    <row r="179">
      <c r="B179" s="32" t="n"/>
    </row>
    <row r="180">
      <c r="B180" s="32" t="n"/>
    </row>
    <row r="181">
      <c r="B181" s="32" t="n"/>
    </row>
    <row r="182">
      <c r="B182" s="32" t="n"/>
    </row>
    <row r="183">
      <c r="B183" s="32" t="n"/>
    </row>
    <row r="184">
      <c r="B184" s="32" t="n"/>
    </row>
    <row r="185">
      <c r="B185" s="32" t="n"/>
    </row>
    <row r="186">
      <c r="B186" s="32" t="n"/>
    </row>
    <row r="187">
      <c r="B187" s="32" t="n"/>
    </row>
    <row r="188">
      <c r="B188" s="32" t="n"/>
    </row>
    <row r="189">
      <c r="B189" s="32" t="n"/>
    </row>
    <row r="190">
      <c r="B190" s="32" t="n"/>
    </row>
    <row r="191">
      <c r="B191" s="32" t="n"/>
    </row>
    <row r="192">
      <c r="B192" s="32" t="n"/>
    </row>
    <row r="193">
      <c r="B193" s="32" t="n"/>
    </row>
    <row r="194">
      <c r="B194" s="32" t="n"/>
    </row>
    <row r="195">
      <c r="B195" s="32" t="n"/>
    </row>
    <row r="196">
      <c r="B196" s="32" t="n"/>
    </row>
    <row r="197">
      <c r="B197" s="32" t="n"/>
    </row>
    <row r="198">
      <c r="B198" s="32" t="n"/>
    </row>
    <row r="199">
      <c r="B199" s="32" t="n"/>
    </row>
    <row r="200">
      <c r="B200" s="32" t="n"/>
    </row>
  </sheetData>
  <dataValidations count="1">
    <dataValidation sqref="C5:C200" showDropDown="0" showInputMessage="0" showErrorMessage="0" allowBlank="1" type="list">
      <formula1>"Khôi,Hữu Khoa,Đăng Khoa"</formula1>
    </dataValidation>
  </dataValidation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10" defaultColWidth="8.83203125" defaultRowHeight="15"/>
  <cols>
    <col width="16" customWidth="1" style="43" min="1" max="2"/>
    <col width="13" customWidth="1" style="43" min="3" max="3"/>
    <col width="12" customWidth="1" style="43" min="4" max="4"/>
    <col width="11" customWidth="1" style="43" min="5" max="5"/>
    <col width="16" customWidth="1" style="43" min="6" max="7"/>
    <col width="15" customWidth="1" style="43" min="8" max="8"/>
  </cols>
  <sheetData>
    <row r="1" ht="18" customHeight="1" s="43">
      <c r="A1" s="1" t="inlineStr">
        <is>
          <t>Thống kê tiến độ &amp; mức đóng góp</t>
        </is>
      </c>
    </row>
    <row r="2">
      <c r="A2" s="2" t="inlineStr">
        <is>
          <t>Tự tính từ sheet 'Kế hoạch' – không cần nhập.</t>
        </is>
      </c>
    </row>
    <row r="4" ht="28" customHeight="1" s="43">
      <c r="A4" s="6" t="inlineStr">
        <is>
          <t>Thành viên</t>
        </is>
      </c>
      <c r="B4" s="6" t="inlineStr">
        <is>
          <t>Số việc phụ trách</t>
        </is>
      </c>
      <c r="C4" s="6" t="inlineStr">
        <is>
          <t>Hoàn thành</t>
        </is>
      </c>
      <c r="D4" s="6" t="inlineStr">
        <is>
          <t>Đang làm</t>
        </is>
      </c>
      <c r="E4" s="6" t="inlineStr">
        <is>
          <t>Trễ hạn</t>
        </is>
      </c>
      <c r="F4" s="6" t="inlineStr">
        <is>
          <t>% việc hoàn thành</t>
        </is>
      </c>
      <c r="G4" s="6" t="inlineStr">
        <is>
          <t>% hoàn thành TB</t>
        </is>
      </c>
      <c r="H4" s="6" t="inlineStr">
        <is>
          <t>Số việc review</t>
        </is>
      </c>
    </row>
    <row r="5">
      <c r="A5" s="33" t="inlineStr">
        <is>
          <t>Khôi</t>
        </is>
      </c>
      <c r="B5" s="7">
        <f>COUNTIF('Kế hoạch'!$G$5:$G$109,A5)</f>
        <v/>
      </c>
      <c r="C5" s="7">
        <f>COUNTIFS('Kế hoạch'!$G$5:$G$109,A5,'Kế hoạch'!$J$5:$J$109,"Hoàn thành")</f>
        <v/>
      </c>
      <c r="D5" s="7">
        <f>COUNTIFS('Kế hoạch'!$G$5:$G$109,A5,'Kế hoạch'!$J$5:$J$109,"Đang làm")</f>
        <v/>
      </c>
      <c r="E5" s="7">
        <f>COUNTIFS('Kế hoạch'!$G$5:$G$109,A5,'Kế hoạch'!$J$5:$J$109,"Trễ hạn")</f>
        <v/>
      </c>
      <c r="F5" s="34">
        <f>IFERROR(C5/B5,0)</f>
        <v/>
      </c>
      <c r="G5" s="34">
        <f>IFERROR(AVERAGEIF('Kế hoạch'!$G$5:$G$109,A5,'Kế hoạch'!$K$5:$K$109),0)</f>
        <v/>
      </c>
      <c r="H5" s="7">
        <f>COUNTIF('Kế hoạch'!$H$5:$H$109,A5)</f>
        <v/>
      </c>
    </row>
    <row r="6">
      <c r="A6" s="33" t="inlineStr">
        <is>
          <t>Hữu Khoa</t>
        </is>
      </c>
      <c r="B6" s="7">
        <f>COUNTIF('Kế hoạch'!$G$5:$G$109,A6)</f>
        <v/>
      </c>
      <c r="C6" s="7">
        <f>COUNTIFS('Kế hoạch'!$G$5:$G$109,A6,'Kế hoạch'!$J$5:$J$109,"Hoàn thành")</f>
        <v/>
      </c>
      <c r="D6" s="7">
        <f>COUNTIFS('Kế hoạch'!$G$5:$G$109,A6,'Kế hoạch'!$J$5:$J$109,"Đang làm")</f>
        <v/>
      </c>
      <c r="E6" s="7">
        <f>COUNTIFS('Kế hoạch'!$G$5:$G$109,A6,'Kế hoạch'!$J$5:$J$109,"Trễ hạn")</f>
        <v/>
      </c>
      <c r="F6" s="34">
        <f>IFERROR(C6/B6,0)</f>
        <v/>
      </c>
      <c r="G6" s="34">
        <f>IFERROR(AVERAGEIF('Kế hoạch'!$G$5:$G$109,A6,'Kế hoạch'!$K$5:$K$109),0)</f>
        <v/>
      </c>
      <c r="H6" s="7">
        <f>COUNTIF('Kế hoạch'!$H$5:$H$109,A6)</f>
        <v/>
      </c>
    </row>
    <row r="7">
      <c r="A7" s="33" t="inlineStr">
        <is>
          <t>Đăng Khoa</t>
        </is>
      </c>
      <c r="B7" s="7">
        <f>COUNTIF('Kế hoạch'!$G$5:$G$109,A7)</f>
        <v/>
      </c>
      <c r="C7" s="7">
        <f>COUNTIFS('Kế hoạch'!$G$5:$G$109,A7,'Kế hoạch'!$J$5:$J$109,"Hoàn thành")</f>
        <v/>
      </c>
      <c r="D7" s="7">
        <f>COUNTIFS('Kế hoạch'!$G$5:$G$109,A7,'Kế hoạch'!$J$5:$J$109,"Đang làm")</f>
        <v/>
      </c>
      <c r="E7" s="7">
        <f>COUNTIFS('Kế hoạch'!$G$5:$G$109,A7,'Kế hoạch'!$J$5:$J$109,"Trễ hạn")</f>
        <v/>
      </c>
      <c r="F7" s="34">
        <f>IFERROR(C7/B7,0)</f>
        <v/>
      </c>
      <c r="G7" s="34">
        <f>IFERROR(AVERAGEIF('Kế hoạch'!$G$5:$G$109,A7,'Kế hoạch'!$K$5:$K$109),0)</f>
        <v/>
      </c>
      <c r="H7" s="7">
        <f>COUNTIF('Kế hoạch'!$H$5:$H$109,A7)</f>
        <v/>
      </c>
    </row>
    <row r="8">
      <c r="A8" s="33" t="inlineStr">
        <is>
          <t>Cả nhóm</t>
        </is>
      </c>
      <c r="B8" s="7">
        <f>COUNTIF('Kế hoạch'!$G$5:$G$109,A8)</f>
        <v/>
      </c>
      <c r="C8" s="7">
        <f>COUNTIFS('Kế hoạch'!$G$5:$G$109,A8,'Kế hoạch'!$J$5:$J$109,"Hoàn thành")</f>
        <v/>
      </c>
      <c r="D8" s="7">
        <f>COUNTIFS('Kế hoạch'!$G$5:$G$109,A8,'Kế hoạch'!$J$5:$J$109,"Đang làm")</f>
        <v/>
      </c>
      <c r="E8" s="7">
        <f>COUNTIFS('Kế hoạch'!$G$5:$G$109,A8,'Kế hoạch'!$J$5:$J$109,"Trễ hạn")</f>
        <v/>
      </c>
      <c r="F8" s="34">
        <f>IFERROR(C8/B8,0)</f>
        <v/>
      </c>
      <c r="G8" s="34">
        <f>IFERROR(AVERAGEIF('Kế hoạch'!$G$5:$G$109,A8,'Kế hoạch'!$K$5:$K$109),0)</f>
        <v/>
      </c>
      <c r="H8" s="7">
        <f>COUNTIF('Kế hoạch'!$H$5:$H$109,A8)</f>
        <v/>
      </c>
    </row>
    <row r="9">
      <c r="A9" s="27" t="inlineStr">
        <is>
          <t>Tổng</t>
        </is>
      </c>
      <c r="B9" s="35">
        <f>SUM(B5:B8)</f>
        <v/>
      </c>
      <c r="C9" s="35">
        <f>SUM(C5:C8)</f>
        <v/>
      </c>
      <c r="D9" s="35">
        <f>SUM(D5:D8)</f>
        <v/>
      </c>
      <c r="E9" s="35">
        <f>SUM(E5:E8)</f>
        <v/>
      </c>
      <c r="F9" s="36">
        <f>IFERROR(C9/B9,0)</f>
        <v/>
      </c>
      <c r="G9" s="36">
        <f>IFERROR(AVERAGE('Kế hoạch'!$K$5:$K$109),0)</f>
        <v/>
      </c>
      <c r="H9" s="35">
        <f>SUM(H5:H8)</f>
        <v/>
      </c>
    </row>
    <row r="12" ht="16" customHeight="1" s="43">
      <c r="A12" s="5" t="inlineStr">
        <is>
          <t>Tiến độ theo giai đoạn</t>
        </is>
      </c>
    </row>
    <row r="13" ht="28" customHeight="1" s="43">
      <c r="A13" s="6" t="inlineStr">
        <is>
          <t>Giai đoạn</t>
        </is>
      </c>
      <c r="B13" s="6" t="inlineStr">
        <is>
          <t>Số việc</t>
        </is>
      </c>
      <c r="C13" s="6" t="inlineStr">
        <is>
          <t>Hoàn thành</t>
        </is>
      </c>
      <c r="D13" s="6" t="inlineStr">
        <is>
          <t>% hoàn thành</t>
        </is>
      </c>
    </row>
    <row r="14">
      <c r="A14" s="9" t="inlineStr">
        <is>
          <t>GĐ0</t>
        </is>
      </c>
      <c r="B14" s="9">
        <f>COUNTIF('Kế hoạch'!$E$5:$E$109,A14)</f>
        <v/>
      </c>
      <c r="C14" s="9">
        <f>COUNTIFS('Kế hoạch'!$E$5:$E$109,A14,'Kế hoạch'!$J$5:$J$109,"Hoàn thành")</f>
        <v/>
      </c>
      <c r="D14" s="37">
        <f>IFERROR(C14/B14,0)</f>
        <v/>
      </c>
    </row>
    <row r="15">
      <c r="A15" s="11" t="inlineStr">
        <is>
          <t>GĐ1</t>
        </is>
      </c>
      <c r="B15" s="11">
        <f>COUNTIF('Kế hoạch'!$E$5:$E$109,A15)</f>
        <v/>
      </c>
      <c r="C15" s="11">
        <f>COUNTIFS('Kế hoạch'!$E$5:$E$109,A15,'Kế hoạch'!$J$5:$J$109,"Hoàn thành")</f>
        <v/>
      </c>
      <c r="D15" s="38">
        <f>IFERROR(C15/B15,0)</f>
        <v/>
      </c>
    </row>
    <row r="16">
      <c r="A16" s="13" t="inlineStr">
        <is>
          <t>GĐ2</t>
        </is>
      </c>
      <c r="B16" s="13">
        <f>COUNTIF('Kế hoạch'!$E$5:$E$109,A16)</f>
        <v/>
      </c>
      <c r="C16" s="13">
        <f>COUNTIFS('Kế hoạch'!$E$5:$E$109,A16,'Kế hoạch'!$J$5:$J$109,"Hoàn thành")</f>
        <v/>
      </c>
      <c r="D16" s="39">
        <f>IFERROR(C16/B16,0)</f>
        <v/>
      </c>
    </row>
    <row r="17">
      <c r="A17" s="15" t="inlineStr">
        <is>
          <t>GĐ3</t>
        </is>
      </c>
      <c r="B17" s="15">
        <f>COUNTIF('Kế hoạch'!$E$5:$E$109,A17)</f>
        <v/>
      </c>
      <c r="C17" s="15">
        <f>COUNTIFS('Kế hoạch'!$E$5:$E$109,A17,'Kế hoạch'!$J$5:$J$109,"Hoàn thành")</f>
        <v/>
      </c>
      <c r="D17" s="40">
        <f>IFERROR(C17/B17,0)</f>
        <v/>
      </c>
    </row>
    <row r="18">
      <c r="A18" s="17" t="inlineStr">
        <is>
          <t>GĐ4</t>
        </is>
      </c>
      <c r="B18" s="17">
        <f>COUNTIF('Kế hoạch'!$E$5:$E$109,A18)</f>
        <v/>
      </c>
      <c r="C18" s="17">
        <f>COUNTIFS('Kế hoạch'!$E$5:$E$109,A18,'Kế hoạch'!$J$5:$J$109,"Hoàn thành")</f>
        <v/>
      </c>
      <c r="D18" s="41">
        <f>IFERROR(C18/B18,0)</f>
        <v/>
      </c>
    </row>
    <row r="20">
      <c r="A20" s="2" t="inlineStr">
        <is>
          <t>Ghi chú: việc của 'Cả nhóm' tính riêng; dùng bảng này cùng sheet 'Báo cáo tuần' làm căn cứ cho đánh giá chéo (15% điểm cá nhân).</t>
        </is>
      </c>
    </row>
  </sheetData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2026-10-07T14:25:36Z</dcterms:created>
  <dcterms:modified xsi:type="dcterms:W3CDTF">2026-10-28T12:47:59Z</dcterms:modified>
  <cp:lastModifiedBy>Khoi Le</cp:lastModifiedBy>
</cp:coreProperties>
</file>