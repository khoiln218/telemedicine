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mc:AlternateContent xmlns:mc="http://schemas.openxmlformats.org/markup-compatibility/2006">
    <mc:Choice Requires="x15">
      <x15ac:absPath xmlns:x15ac="http://schemas.microsoft.com/office/spreadsheetml/2010/11/ac" url="/Users/khoile/Documents/PTIT/HK5/CSDL/telemedicine/docs/"/>
    </mc:Choice>
  </mc:AlternateContent>
  <xr:revisionPtr revIDLastSave="0" documentId="13_ncr:1_{6A090BDD-7F7F-7E45-AA7B-371E0D03CF25}" xr6:coauthVersionLast="47" xr6:coauthVersionMax="47" xr10:uidLastSave="{00000000-0000-0000-0000-000000000000}"/>
  <bookViews>
    <workbookView xWindow="1200" yWindow="660" windowWidth="29040" windowHeight="18980" activeTab="1" xr2:uid="{00000000-000D-0000-FFFF-FFFF00000000}"/>
  </bookViews>
  <sheets>
    <sheet name="Tổng quan" sheetId="1" r:id="rId1"/>
    <sheet name="Kế hoạch" sheetId="2" r:id="rId2"/>
    <sheet name="Mảng nghiệp vụ" sheetId="3" r:id="rId3"/>
    <sheet name="Viết báo cáo" sheetId="4" r:id="rId4"/>
    <sheet name="Báo cáo tuần" sheetId="5" r:id="rId5"/>
    <sheet name="Thống kê" sheetId="6" r:id="rId6"/>
  </sheets>
  <definedNames>
    <definedName name="_xlnm._FilterDatabase" localSheetId="1" hidden="1">'Kế hoạch'!$A$4:$L$59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6" l="1"/>
  <c r="D18" i="6" s="1"/>
  <c r="B18" i="6"/>
  <c r="C17" i="6"/>
  <c r="D17" i="6" s="1"/>
  <c r="B17" i="6"/>
  <c r="C16" i="6"/>
  <c r="D16" i="6" s="1"/>
  <c r="B16" i="6"/>
  <c r="C15" i="6"/>
  <c r="D15" i="6" s="1"/>
  <c r="B15" i="6"/>
  <c r="C14" i="6"/>
  <c r="D14" i="6" s="1"/>
  <c r="B14" i="6"/>
  <c r="G9" i="6"/>
  <c r="H8" i="6"/>
  <c r="G8" i="6"/>
  <c r="E8" i="6"/>
  <c r="D8" i="6"/>
  <c r="C8" i="6"/>
  <c r="B8" i="6"/>
  <c r="H7" i="6"/>
  <c r="G7" i="6"/>
  <c r="E7" i="6"/>
  <c r="D7" i="6"/>
  <c r="C7" i="6"/>
  <c r="B7" i="6"/>
  <c r="H6" i="6"/>
  <c r="G6" i="6"/>
  <c r="E6" i="6"/>
  <c r="D6" i="6"/>
  <c r="C6" i="6"/>
  <c r="B6" i="6"/>
  <c r="H5" i="6"/>
  <c r="H9" i="6" s="1"/>
  <c r="G5" i="6"/>
  <c r="E5" i="6"/>
  <c r="D5" i="6"/>
  <c r="C5" i="6"/>
  <c r="B5" i="6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F8" i="6" l="1"/>
  <c r="F6" i="6"/>
  <c r="B9" i="6"/>
  <c r="E9" i="6"/>
  <c r="D9" i="6"/>
  <c r="F7" i="6"/>
  <c r="F5" i="6"/>
  <c r="C9" i="6"/>
  <c r="F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G5</author>
  </authors>
  <commentList>
    <comment ref="B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Nhập ngày thứ Hai của Tuần 1 theo lịch học. Sheet 'Kế hoạch' tự tính ngày theo ô này.</t>
        </r>
      </text>
    </comment>
  </commentList>
</comments>
</file>

<file path=xl/sharedStrings.xml><?xml version="1.0" encoding="utf-8"?>
<sst xmlns="http://schemas.openxmlformats.org/spreadsheetml/2006/main" count="703" uniqueCount="411">
  <si>
    <t>Kế hoạch công việc theo tuần</t>
  </si>
  <si>
    <t>Cập nhật cột Trạng thái / % hoàn thành / Ghi chú (ô vàng) mỗi tuần.</t>
  </si>
  <si>
    <t>Mã</t>
  </si>
  <si>
    <t>Tuần</t>
  </si>
  <si>
    <t>Từ ngày</t>
  </si>
  <si>
    <t>Đến ngày</t>
  </si>
  <si>
    <t>Giai đoạn</t>
  </si>
  <si>
    <t>Công việc</t>
  </si>
  <si>
    <t>Người phụ trách</t>
  </si>
  <si>
    <t>Người review</t>
  </si>
  <si>
    <t>Sản phẩm / Kết quả</t>
  </si>
  <si>
    <t>Trạng thái</t>
  </si>
  <si>
    <t>% hoàn thành</t>
  </si>
  <si>
    <t>Ghi chú</t>
  </si>
  <si>
    <t>T01</t>
  </si>
  <si>
    <t>GĐ0</t>
  </si>
  <si>
    <t>Họp khởi động: thống nhất vai trò, mảng nghiệp vụ, lịch họp, kênh liên lạc</t>
  </si>
  <si>
    <t>Cả nhóm</t>
  </si>
  <si>
    <t>Biên bản họp #1</t>
  </si>
  <si>
    <t>Chưa bắt đầu</t>
  </si>
  <si>
    <t>T02</t>
  </si>
  <si>
    <t>Tạo repo GitHub + cấu trúc thư mục; cài PostgreSQL &amp; draw.io trên máy cả nhóm</t>
  </si>
  <si>
    <t>Khôi</t>
  </si>
  <si>
    <t>Repo + README hướng dẫn cài đặt</t>
  </si>
  <si>
    <t>Đang làm</t>
  </si>
  <si>
    <t>Repo + cấu trúc thư mục + README xong; máy Khôi đã cài PG16 + draw.io. Chờ Hữu Khoa, Đăng Khoa cài theo README và báo lại</t>
  </si>
  <si>
    <t>T03</t>
  </si>
  <si>
    <t>Khảo sát quy trình đặt lịch, khám trực tiếp, tư vấn từ xa, thanh toán (biểu mẫu, ứng dụng thực tế)</t>
  </si>
  <si>
    <t>Đăng Khoa</t>
  </si>
  <si>
    <t>Ghi chú khảo sát mảng B</t>
  </si>
  <si>
    <t>Hoàn thành</t>
  </si>
  <si>
    <t>docs/khao-sat/T03_KhaoSat_MangB.md – viết lại theo ISO/IEC/IEEE 29148, bổ sung quy định khám từ xa (19/10); chờ Đăng Khoa review</t>
  </si>
  <si>
    <t>T04</t>
  </si>
  <si>
    <t>Khảo sát tổ chức nhân sự y tế, chuyên khoa, chứng chỉ hành nghề, ca làm việc</t>
  </si>
  <si>
    <t>Hữu Khoa</t>
  </si>
  <si>
    <t>Ghi chú khảo sát mảng A</t>
  </si>
  <si>
    <t>docs/khao-sat/T04_KhaoSat_MangA.md – Khôi soạn 19/10 theo ISO/IEC/IEEE 29148; chờ Hữu Khoa xác nhận</t>
  </si>
  <si>
    <t>T05</t>
  </si>
  <si>
    <t>Khảo sát hồ sơ bệnh án, chẩn đoán (ICD-10), đơn thuốc điện tử, dị ứng thuốc</t>
  </si>
  <si>
    <t>Ghi chú khảo sát mảng C</t>
  </si>
  <si>
    <t>docs/khao-sat/T05_KhaoSat_MangC.md – viết lại theo ISO/IEC/IEEE 29148, bổ sung quy định kê đơn, bệnh án điện tử (19/10); chờ Hữu Khoa review</t>
  </si>
  <si>
    <t>T06</t>
  </si>
  <si>
    <t>Viết mục 1 + 1.1: giới thiệu, phạm vi, mục tiêu hệ thống, tác nhân (theo ISO/IEC/IEEE 29148)</t>
  </si>
  <si>
    <t>Báo cáo mục 1, 1.1</t>
  </si>
  <si>
    <t>Đã điền mục 1, 1.1 vào docs/INT1313_TX_G5_DeTai05_Telemedicine_v0.docx – chờ Hữu Khoa review</t>
  </si>
  <si>
    <t>T07</t>
  </si>
  <si>
    <t>Viết quy tắc nghiệp vụ BR-A01… cho mảng A (đánh số, có thể kiểm chứng)</t>
  </si>
  <si>
    <t>Danh sách BR mảng A</t>
  </si>
  <si>
    <t>docs/br/T07_BR_MangA.md – BR-A01…A08 theo Business Rules Manifesto/SBVR, khớp báo cáo v2.1 (19/10); chờ Đăng Khoa review</t>
  </si>
  <si>
    <t>T08</t>
  </si>
  <si>
    <t>Viết quy tắc nghiệp vụ BR-B01… cho mảng B</t>
  </si>
  <si>
    <t>Danh sách BR mảng B</t>
  </si>
  <si>
    <t>docs/br/T08_BR_MangB.md – thu gọn còn BR-B01…B07, theo Business Rules Manifesto/SBVR (19/10); chờ Hữu Khoa review</t>
  </si>
  <si>
    <t>T09</t>
  </si>
  <si>
    <t>Viết quy tắc nghiệp vụ BR-C01… cho mảng C</t>
  </si>
  <si>
    <t>Danh sách BR mảng C</t>
  </si>
  <si>
    <t>docs/br/T09_BR_MangC.md – BR-C01…C05 theo Business Rules Manifesto/SBVR; Khôi đã review 19/10</t>
  </si>
  <si>
    <t>T10</t>
  </si>
  <si>
    <t>Tổng hợp mục 1.2, review chéo, nộp báo cáo v1 + báo cáo tiến độ</t>
  </si>
  <si>
    <t>Báo cáo v1</t>
  </si>
  <si>
    <t>Đã nộp báo cáo v1 (mục 1, 1.1, 1.2) và báo cáo tiến độ. Nội dung v1 được nối tiếp trong docs/INT1313_TX_G5_DeTai05_Telemedicine_v2.1.docx; bản v1 xem lịch sử git (commit a2902ac)</t>
  </si>
  <si>
    <t>T11</t>
  </si>
  <si>
    <t>GĐ1</t>
  </si>
  <si>
    <t>Vẽ EER mảng A: BAC_SI → {ĐA_KHOA, CHUYÊN_KHOA}; ràng buộc disjoint/total; chuyên khoa, ca làm việc</t>
  </si>
  <si>
    <t>ERD mảng A (.drawio)</t>
  </si>
  <si>
    <t>erd/A.drawio, erd/A.png – Khôi vẽ 19/10 theo T04, T07; chờ Hữu Khoa xác nhận tên liên kết THUỘC, XẾP_CA</t>
  </si>
  <si>
    <t>T12</t>
  </si>
  <si>
    <t>Vẽ ER/EER mảng B: BENH_NHAN, LICH_HEN → {KHÁM_TRỰC_TIẾP, TƯ_VẤN_TỪ_XA}, giấy chuyển chuyên khoa, hóa đơn</t>
  </si>
  <si>
    <t>ERD mảng B</t>
  </si>
  <si>
    <t>erd/B.drawio, erd/B.png – Chen/Elmasri; bỏ HOA_DON, phí khám là thuộc tính lịch hẹn (19/10); chờ Hữu Khoa review</t>
  </si>
  <si>
    <t>T13</t>
  </si>
  <si>
    <t>Vẽ ER mảng C: HO_SO_BENH_AN, LAN_KHAM, CHAN_DOAN, DON_THUOC, THUOC, DI_UNG</t>
  </si>
  <si>
    <t>ERD mảng C</t>
  </si>
  <si>
    <t>erd/C.drawio, erd/C.png – Chen/Elmasri; bỏ HO_SO_BENH_AN, chi tiết đơn là liên kết M:N KÊ (19/10); Khôi đã review</t>
  </si>
  <si>
    <t>T14</t>
  </si>
  <si>
    <t>Gộp ERD tổng, thống nhất ký hiệu, kiểm tra cardinality/participation, thực thể yếu</t>
  </si>
  <si>
    <t>ERD tổng hoàn chỉnh</t>
  </si>
  <si>
    <t>erd/ERD_tong.drawio, erd/ERD_tong.png – Khôi gộp 19/10: 16 thực thể, 2 phân lớp, 15 liên kết, ký hiệu Chen/Elmasri thống nhất; chỉ vẽ khóa và thuộc tính liên kết; chờ Hữu Khoa review</t>
  </si>
  <si>
    <t>T15</t>
  </si>
  <si>
    <t>Lập ma trận truy vết BR → thành phần ERD (BR nào chưa thể hiện được thì ghi rõ cách xử lý)</t>
  </si>
  <si>
    <t>Bảng truy vết BR–ERD</t>
  </si>
  <si>
    <t>docs/traceability/T15_Traceability.md – truy vết hai chiều A, B, C theo ISO/IEC/IEEE 29148 (19/10); chờ Hữu Khoa review</t>
  </si>
  <si>
    <t>T16</t>
  </si>
  <si>
    <t>Viết mục 2.1 Mô hình khái niệm (mỗi người mô tả mảng mình, Hữu Khoa gộp)</t>
  </si>
  <si>
    <t>Báo cáo mục 2.1</t>
  </si>
  <si>
    <t>Báo cáo v2.1 mục 2.1 đủ A, B, C: thực thể, liên kết, phân lớp, hình 2.1 (ERD tổng) và 2.1a–c, truy vết, giả định; chờ Khôi review</t>
  </si>
  <si>
    <t>T17</t>
  </si>
  <si>
    <t>Review, nộp báo cáo v2.1 + báo cáo tiến độ</t>
  </si>
  <si>
    <t>Báo cáo v2.1</t>
  </si>
  <si>
    <t>T18</t>
  </si>
  <si>
    <t>GĐ2</t>
  </si>
  <si>
    <t>Chốt quy ước đặt tên bảng/cột, kiểu dữ liệu chung (mã, tiền, ngày giờ, trạng thái)</t>
  </si>
  <si>
    <t>Tài liệu quy ước</t>
  </si>
  <si>
    <t>T19</t>
  </si>
  <si>
    <t>Ánh xạ mảng A (thuật toán Elmasri bước 1–7) + chọn phương án bước 8 (8A/8B/8C/8D) cho phân lớp, có lý giải</t>
  </si>
  <si>
    <t>Lược đồ quan hệ mảng A</t>
  </si>
  <si>
    <t>T20</t>
  </si>
  <si>
    <t>Ánh xạ mảng B sang lược đồ quan hệ, xác định PK/FK</t>
  </si>
  <si>
    <t>Lược đồ quan hệ mảng B</t>
  </si>
  <si>
    <t>T21</t>
  </si>
  <si>
    <t>Ánh xạ mảng C sang lược đồ quan hệ, xác định PK/FK</t>
  </si>
  <si>
    <t>Lược đồ quan hệ mảng C</t>
  </si>
  <si>
    <t>T22</t>
  </si>
  <si>
    <t>Chuẩn bị khuôn trình bày chứng minh chuẩn hóa (FD, khóa, 1NF→2NF→3NF→BCNF)</t>
  </si>
  <si>
    <t>Mẫu chứng minh</t>
  </si>
  <si>
    <t>T23</t>
  </si>
  <si>
    <t>Liệt kê phụ thuộc hàm (FD) và khóa ứng viên cho các bảng mảng A</t>
  </si>
  <si>
    <t>FD mảng A</t>
  </si>
  <si>
    <t>T24</t>
  </si>
  <si>
    <t>Liệt kê FD và khóa ứng viên cho các bảng mảng B</t>
  </si>
  <si>
    <t>FD mảng B</t>
  </si>
  <si>
    <t>T25</t>
  </si>
  <si>
    <t>Liệt kê FD và khóa ứng viên cho các bảng mảng C</t>
  </si>
  <si>
    <t>FD mảng C</t>
  </si>
  <si>
    <t>T26</t>
  </si>
  <si>
    <t>Chứng minh 3NF/BCNF mảng A, tách bảng nếu vi phạm</t>
  </si>
  <si>
    <t>Mục 2.3 – phần A</t>
  </si>
  <si>
    <t>T27</t>
  </si>
  <si>
    <t>Chứng minh 3NF/BCNF mảng B, tách bảng nếu vi phạm</t>
  </si>
  <si>
    <t>Mục 2.3 – phần B</t>
  </si>
  <si>
    <t>T28</t>
  </si>
  <si>
    <t>Chứng minh 3NF/BCNF mảng C, tách bảng nếu vi phạm</t>
  </si>
  <si>
    <t>Mục 2.3 – phần C</t>
  </si>
  <si>
    <t>T29</t>
  </si>
  <si>
    <t>Từ điển dữ liệu (mục 3, theo ISO/IEC 11179): mỗi người điền bảng của mình, Hữu Khoa gộp</t>
  </si>
  <si>
    <t>Mục 3</t>
  </si>
  <si>
    <t>T30</t>
  </si>
  <si>
    <t>Review chéo toàn bộ mục 2.2, 2.3, 3; sửa ERD nếu chuẩn hóa làm thay đổi thiết kế</t>
  </si>
  <si>
    <t>Danh sách lỗi đã sửa</t>
  </si>
  <si>
    <t>T31</t>
  </si>
  <si>
    <t>Hoàn thiện, nộp báo cáo v2.2 + báo cáo tiến độ</t>
  </si>
  <si>
    <t>Báo cáo v2.2</t>
  </si>
  <si>
    <t>T32</t>
  </si>
  <si>
    <t>GĐ3</t>
  </si>
  <si>
    <t>DDL mảng A: bảng, PK/FK, NOT NULL, CHECK, UNIQUE, index</t>
  </si>
  <si>
    <t>sql/A_schema.sql</t>
  </si>
  <si>
    <t>T33</t>
  </si>
  <si>
    <t>DDL mảng B: bảng, ràng buộc, index (kể cả chống trùng lịch hẹn)</t>
  </si>
  <si>
    <t>sql/B_schema.sql</t>
  </si>
  <si>
    <t>T34</t>
  </si>
  <si>
    <t>DDL mảng C: bảng, ràng buộc, index</t>
  </si>
  <si>
    <t>sql/C_schema.sql</t>
  </si>
  <si>
    <t>T35</t>
  </si>
  <si>
    <t>Gộp script schema.sql tổng, chạy lại từ đầu không lỗi</t>
  </si>
  <si>
    <t>sql/schema.sql</t>
  </si>
  <si>
    <t>T36</t>
  </si>
  <si>
    <t>Trigger + view mảng A (vd: chặn ca làm việc chồng giờ; v_lich_truc_bac_si)</t>
  </si>
  <si>
    <t>sql/A_trigger_view.sql</t>
  </si>
  <si>
    <t>T37</t>
  </si>
  <si>
    <t>Trigger + view mảng B (vd: lịch hẹn phải nằm trong ca bác sĩ; v_lich_hen_hom_nay)</t>
  </si>
  <si>
    <t>sql/B_trigger_view.sql</t>
  </si>
  <si>
    <t>T38</t>
  </si>
  <si>
    <t>Trigger + view mảng C (vd: chặn kê thuốc bệnh nhân dị ứng; v_ho_so_tom_tat)</t>
  </si>
  <si>
    <t>sql/C_trigger_view.sql</t>
  </si>
  <si>
    <t>T39</t>
  </si>
  <si>
    <t>Dữ liệu mẫu (seed.sql): mỗi người viết cho mảng mình, Đăng Khoa gộp và đảm bảo đủ để truy vấn có kết quả</t>
  </si>
  <si>
    <t>sql/seed.sql</t>
  </si>
  <si>
    <t>T40</t>
  </si>
  <si>
    <t>4 truy vấn phức tạp mảng A (JOIN, subquery, hàm tổng hợp, GROUP BY/HAVING)</t>
  </si>
  <si>
    <t>sql/queries_A.sql</t>
  </si>
  <si>
    <t>T41</t>
  </si>
  <si>
    <t>4 truy vấn phức tạp mảng B</t>
  </si>
  <si>
    <t>sql/queries_B.sql</t>
  </si>
  <si>
    <t>T42</t>
  </si>
  <si>
    <t>4 truy vấn phức tạp mảng C</t>
  </si>
  <si>
    <t>sql/queries_C.sql</t>
  </si>
  <si>
    <t>T43</t>
  </si>
  <si>
    <t>Test ràng buộc (mục 5.1): mỗi người viết INSERT/UPDATE sai cho mảng mình, Đăng Khoa gộp &amp; chạy</t>
  </si>
  <si>
    <t>sql/tests.sql + kết quả</t>
  </si>
  <si>
    <t>T44</t>
  </si>
  <si>
    <t>Kiểm thử hiệu năng: EXPLAIN ANALYZE trước/sau khi tạo index</t>
  </si>
  <si>
    <t>Mục 4.2 – performance</t>
  </si>
  <si>
    <t>T45</t>
  </si>
  <si>
    <t>RBAC (mục 5.2): role admin, bác sĩ, lễ tân, bệnh nhân; GRANT/REVOKE</t>
  </si>
  <si>
    <t>sql/rbac.sql</t>
  </si>
  <si>
    <t>T46</t>
  </si>
  <si>
    <t>Viết mục 4.1, 4.2 (Hữu Khoa gộp) và mục 5 (Đăng Khoa gộp); nộp v3</t>
  </si>
  <si>
    <t>Báo cáo v3</t>
  </si>
  <si>
    <t>T47</t>
  </si>
  <si>
    <t>GĐ4</t>
  </si>
  <si>
    <t>Khung ứng dụng Flask: cấu hình kết nối DB, layout, đăng nhập theo role</t>
  </si>
  <si>
    <t>app/ chạy được</t>
  </si>
  <si>
    <t>T48</t>
  </si>
  <si>
    <t>Màn hình mảng A: danh sách bác sĩ theo chuyên khoa, lịch làm việc</t>
  </si>
  <si>
    <t>Màn hình A</t>
  </si>
  <si>
    <t>T49</t>
  </si>
  <si>
    <t>Màn hình mảng B: đặt lịch hẹn (hiện lỗi trigger khi trùng giờ), danh sách lịch hẹn</t>
  </si>
  <si>
    <t>Màn hình B</t>
  </si>
  <si>
    <t>T50</t>
  </si>
  <si>
    <t>Màn hình mảng C: tạo lần khám, kê đơn thuốc (hiện cảnh báo dị ứng), xem bệnh án</t>
  </si>
  <si>
    <t>Màn hình C</t>
  </si>
  <si>
    <t>T51</t>
  </si>
  <si>
    <t>Slide thuyết trình (mỗi người làm slide mảng mình) + kịch bản demo</t>
  </si>
  <si>
    <t>Slide + kịch bản demo</t>
  </si>
  <si>
    <t>T52</t>
  </si>
  <si>
    <t>Hoàn thiện báo cáo cuối v4: tóm tắt ~200 từ, tài liệu tham khảo APA 7, đúng mẫu</t>
  </si>
  <si>
    <t>Báo cáo v4</t>
  </si>
  <si>
    <t>T53</t>
  </si>
  <si>
    <t>Diễn tập bảo vệ SQL: mỗi người giải thích truy vấn/trigger của 2 người còn lại, viết truy vấn tại chỗ</t>
  </si>
  <si>
    <t>Buổi diễn tập</t>
  </si>
  <si>
    <t>T54</t>
  </si>
  <si>
    <t>Chạy thử demo trên máy trình chiếu (DB sạch → schema → seed → app)</t>
  </si>
  <si>
    <t>Demo ổn định</t>
  </si>
  <si>
    <t>T55</t>
  </si>
  <si>
    <t>Thuyết trình, bảo vệ, đánh giá chéo thành viên</t>
  </si>
  <si>
    <t>Hoàn thành đồ án</t>
  </si>
  <si>
    <t>Kế hoạch đồ án – Nhóm G5 – Đề tài #5: Cổng thông tin phòng khám &amp; y tế từ xa (Telemedicine)</t>
  </si>
  <si>
    <t>INT1313 Cơ sở dữ liệu – Nhóm tổ 06 – HK1 2026-2027 – GV: Lê Hà Thanh</t>
  </si>
  <si>
    <t>Ngày bắt đầu Tuần 1</t>
  </si>
  <si>
    <t>← nhập ngày (ô vàng); để trống thì cột ngày ở sheet Kế hoạch bỏ trống</t>
  </si>
  <si>
    <t>Thành viên</t>
  </si>
  <si>
    <t>Gọi tắt</t>
  </si>
  <si>
    <t>Họ tên</t>
  </si>
  <si>
    <t>MSSV</t>
  </si>
  <si>
    <t>Email</t>
  </si>
  <si>
    <t>Vai trò chung</t>
  </si>
  <si>
    <t>Mảng nghiệp vụ sở hữu (end-to-end)</t>
  </si>
  <si>
    <t>Lê Ngọc Khôi</t>
  </si>
  <si>
    <t>B24DTCN061</t>
  </si>
  <si>
    <t>khoiln.b24dtcn061@stu.ptit.edu.vn</t>
  </si>
  <si>
    <t>Trưởng nhóm: điều phối, báo cáo tiến độ tuần, tổng hợp tài liệu báo cáo, khung ứng dụng Flask, slide</t>
  </si>
  <si>
    <t>B. Bệnh nhân &amp; Lịch hẹn (đặt lịch, khám trực tiếp / tư vấn từ xa, chuyển chuyên khoa, thanh toán)</t>
  </si>
  <si>
    <t>Đặng Hữu Khoa</t>
  </si>
  <si>
    <t>K24DTCN558</t>
  </si>
  <si>
    <t>khoadh.k24dtcn558@stu.ptit.edu.vn</t>
  </si>
  <si>
    <t>Phụ trách mô hình dữ liệu: ERD tổng (ký hiệu Elmasri), ánh xạ lược đồ, từ điển dữ liệu, script DDL tổng</t>
  </si>
  <si>
    <t>A. Nhân viên y tế &amp; Lịch làm việc (EER phân lớp Bác sĩ đa khoa / chuyên khoa)</t>
  </si>
  <si>
    <t>Nguyễn Đăng Khoa</t>
  </si>
  <si>
    <t>K24DTCN398</t>
  </si>
  <si>
    <t>khoand.k24dtcn398@stu.ptit.edu.vn</t>
  </si>
  <si>
    <t>Phụ trách kiểm thử &amp; bảo mật: review chuẩn hóa, dữ liệu mẫu, test ràng buộc, kiểm thử hiệu năng, RBAC</t>
  </si>
  <si>
    <t>C. Hồ sơ bệnh án &amp; Đơn thuốc điện tử (lần khám, chẩn đoán, đơn thuốc, dị ứng)</t>
  </si>
  <si>
    <t>Nguyên tắc: mỗi người tự làm mảng của mình từ ERD → ánh xạ → chuẩn hóa → DDL → trigger/view → 4 truy vấn → màn hình UI, nên ai cũng tự bảo vệ được phần SQL của mình. Vai trò chung là phần tổng hợp/kiểm tra chéo, không phải làm thay.</t>
  </si>
  <si>
    <t>Giai đoạn &amp; trọng số (theo đề cương)</t>
  </si>
  <si>
    <t>Sản phẩm phải nộp</t>
  </si>
  <si>
    <t>Tiêu chí / Trọng số</t>
  </si>
  <si>
    <t>Phiên bản báo cáo</t>
  </si>
  <si>
    <t>Khảo sát &amp; Xác lập yêu cầu</t>
  </si>
  <si>
    <t>1–2</t>
  </si>
  <si>
    <t>Database Requirement Specification: mục tiêu, phạm vi, quy tắc nghiệp vụ</t>
  </si>
  <si>
    <t>Nền cho GĐ1</t>
  </si>
  <si>
    <t>v1</t>
  </si>
  <si>
    <t>Thiết kế khái niệm</t>
  </si>
  <si>
    <t>3–4</t>
  </si>
  <si>
    <t>Phát biểu vấn đề, quy tắc nghiệp vụ, sơ đồ ER/EER toàn diện</t>
  </si>
  <si>
    <t>Thiết kế – 20%</t>
  </si>
  <si>
    <t>v2.1</t>
  </si>
  <si>
    <t>Thiết kế logic &amp; chuẩn hóa</t>
  </si>
  <si>
    <t>5–8</t>
  </si>
  <si>
    <t>Ánh xạ lược đồ quan hệ, khóa ngoại, chứng minh 3NF/BCNF, từ điển dữ liệu</t>
  </si>
  <si>
    <t>Phân tích – 20%</t>
  </si>
  <si>
    <t>v2.2</t>
  </si>
  <si>
    <t>Cài đặt &amp; truy vấn</t>
  </si>
  <si>
    <t>9–10</t>
  </si>
  <si>
    <t>DDL, dữ liệu mẫu (DML), 10+ truy vấn phức tạp, ≥2 trigger/view, test, RBAC</t>
  </si>
  <si>
    <t>Cài đặt – 30%</t>
  </si>
  <si>
    <t>v3</t>
  </si>
  <si>
    <t>Tích hợp ứng dụng &amp; bảo vệ</t>
  </si>
  <si>
    <t>11–12</t>
  </si>
  <si>
    <t>UI + backend Flask kết nối CSDL, thuyết trình, đánh giá chéo</t>
  </si>
  <si>
    <t>Làm việc nhóm – 30%</t>
  </si>
  <si>
    <t>v4 (bản cuối)</t>
  </si>
  <si>
    <t>Công nghệ đề xuất</t>
  </si>
  <si>
    <t>DBMS</t>
  </si>
  <si>
    <t>PostgreSQL 16 (CHECK, trigger PL/pgSQL, EXCLUDE constraint chống trùng lịch, GRANT/REVOKE theo role)</t>
  </si>
  <si>
    <t>Vẽ ERD</t>
  </si>
  <si>
    <t>draw.io (ký hiệu Chen/Elmasri như giáo trình) – lưu file .drawio trong repo</t>
  </si>
  <si>
    <t>Backend / UI</t>
  </si>
  <si>
    <t>Python Flask + psycopg + Jinja2 (HTML đơn giản)</t>
  </si>
  <si>
    <t>Quản lý mã</t>
  </si>
  <si>
    <t>GitHub repo chung: /docs, /erd, /sql (schema, seed, queries, tests, rbac), /app</t>
  </si>
  <si>
    <t>Liên lạc</t>
  </si>
  <si>
    <t>Nhóm Zalo/Messenger + họp online 1 buổi/tuần (khoảng 45 phút)</t>
  </si>
  <si>
    <t>Chú thích</t>
  </si>
  <si>
    <t>• Ô nền vàng = ô cần nhập (ngày bắt đầu, trạng thái, % hoàn thành, ghi chú).</t>
  </si>
  <si>
    <t>• Sheet 'Kế hoạch': cập nhật cột Trạng thái và % mỗi tuần trước buổi họp. Sheet 'Thống kê' tự tính tiến độ.</t>
  </si>
  <si>
    <t>• Sheet 'Báo cáo tuần': mỗi thành viên ghi 1 dòng/tuần (dòng 1 là ví dụ mẫu) – dùng làm bằng chứng cho đánh giá chéo.</t>
  </si>
  <si>
    <t>• Có thể đổi người phụ trách giữa các mảng nếu cả nhóm đồng ý; sửa ở sheet 'Tổng quan' và 'Kế hoạch'.</t>
  </si>
  <si>
    <t>Phân chia mảng nghiệp vụ (mỗi người sở hữu end-to-end)</t>
  </si>
  <si>
    <t>Tên thực thể/trigger/truy vấn là đề xuất ban đầu – chốt lại ở GĐ0–GĐ1.</t>
  </si>
  <si>
    <t>Hạng mục</t>
  </si>
  <si>
    <t>A. Nhân viên y tế &amp; Lịch làm việc (Hữu Khoa)</t>
  </si>
  <si>
    <t>B. Bệnh nhân &amp; Lịch hẹn (Khôi)</t>
  </si>
  <si>
    <t>C. Bệnh án &amp; Đơn thuốc (Đăng Khoa)</t>
  </si>
  <si>
    <t>Thực thể chính</t>
  </si>
  <si>
    <t>BAC_SI (lớp cha; chứng chỉ hành nghề là thuộc tính) → BAC_SI_DA_KHOA, BAC_SI_CHUYEN_KHOA
CHUYEN_KHOA, CA_LAM_VIEC</t>
  </si>
  <si>
    <t>BENH_NHAN
LICH_HEN (lớp cha; có phí khám) → KHAM_TRUC_TIEP, TU_VAN_TU_XA (nền tảng, link phiên)
GIAY_CHUYEN_KHOA</t>
  </si>
  <si>
    <t>LAN_KHAM, CHAN_DOAN (mã ICD-10), DON_THUOC
THUOC, HOAT_CHAT; KÊ (đơn – thuốc), CHỨA (thuốc – hoạt chất), DI_UNG (bệnh nhân – hoạt chất)
Hồ sơ bệnh án = view tổng hợp</t>
  </si>
  <si>
    <t>Điểm EER / khó khăn</t>
  </si>
  <si>
    <t>Phân lớp disjoint + total cho BAC_SI {Đa khoa, Chuyên khoa}; lý giải chọn phương án ánh xạ 8A/8B/8C</t>
  </si>
  <si>
    <t>Phân lớp hình thức khám (trực tiếp / từ xa); vòng đời trạng thái lịch hẹn: Đã đặt → Đã xác nhận → Hoàn thành / Hủy / Vắng mặt</t>
  </si>
  <si>
    <t>Toàn vẹn bệnh án: đơn thuốc chỉ gắn lần khám đã hoàn thành, do bác sĩ lập; không xóa bệnh án (chỉ đánh dấu)</t>
  </si>
  <si>
    <t>Quy tắc nghiệp vụ gợi ý</t>
  </si>
  <si>
    <t>• Mỗi bác sĩ thuộc đúng 1 loại: đa khoa hoặc chuyên khoa
• BS chuyên khoa thuộc đúng 1 chuyên khoa
• Chứng chỉ hành nghề phải còn hạn mới được xếp ca
• Ca làm việc của 1 bác sĩ không chồng giờ</t>
  </si>
  <si>
    <t>• Lịch hẹn nằm trong ca làm việc của bác sĩ
• 1 bác sĩ, 1 bệnh nhân không có 2 lịch hẹn trùng giờ
• Khám chuyên khoa cần giấy chuyển từ BS đa khoa (trừ tái khám)
• Tư vấn từ xa bắt buộc có link phiên</t>
  </si>
  <si>
    <t>• Không kê thuốc chứa hoạt chất bệnh nhân dị ứng
• Số lượng, liều dùng &gt; 0
• Mỗi lần khám có ≥1 chẩn đoán trước khi kê đơn
• Bệnh nhân chỉ xem hồ sơ của chính mình</t>
  </si>
  <si>
    <t>Trigger (≥1)</t>
  </si>
  <si>
    <t>trg_kiem_tra_chung_chi – chặn xếp ca khi chứng chỉ hết hạn
trg_bao_ve_ca_lam_viec – chặn sửa/hủy ca làm lịch hẹn rơi ra ngoài ca</t>
  </si>
  <si>
    <t>trg_lich_hen_hop_le – lịch hẹn phải trong ca, không trùng giờ
trg_trang_thai_lich_hen – chỉ cho chuyển trạng thái hợp lệ</t>
  </si>
  <si>
    <t>trg_chan_thuoc_di_ung – chặn kê thuốc dị ứng
trg_lan_kham_hoan_thanh – lần khám chỉ cho lịch HOAN_THANH
trg_khong_xoa_benh_an – chặn DELETE bệnh án</t>
  </si>
  <si>
    <t>View (≥1)</t>
  </si>
  <si>
    <t>v_lich_truc_bac_si</t>
  </si>
  <si>
    <t>v_lich_hen_hom_nay</t>
  </si>
  <si>
    <t>v_ho_so_tom_tat_benh_nhan</t>
  </si>
  <si>
    <t>4 truy vấn phức tạp</t>
  </si>
  <si>
    <t>1. BS chuyên khoa còn ca trống tuần tới theo chuyên khoa
2. Tổng giờ làm việc/tháng mỗi bác sĩ (GROUP BY, HAVING)
3. Bác sĩ chưa được xếp ca nào (NOT EXISTS)
4. Chứng chỉ hết hạn trong 30 ngày tới</t>
  </si>
  <si>
    <t>1. Tỷ lệ hủy/vắng mặt theo bác sĩ
2. Doanh thu theo chuyên khoa theo tháng
3. Bệnh nhân khám &gt; 3 lần trong 6 tháng (subquery)
4. Khung giờ đông nhất / tỷ lệ khám từ xa so với trực tiếp</t>
  </si>
  <si>
    <t>1. Top 10 thuốc được kê nhiều nhất theo quý
2. Bệnh nhân có chẩn đoán X chưa tái khám sau 30 ngày
3. Lịch sử khám đầy đủ của 1 bệnh nhân (JOIN 5+ bảng)
4. Bác sĩ có số thuốc trung bình/đơn cao hơn mức chung</t>
  </si>
  <si>
    <t>Màn hình UI</t>
  </si>
  <si>
    <t>Danh sách bác sĩ theo chuyên khoa; lịch làm việc theo tuần</t>
  </si>
  <si>
    <t>Đặt lịch hẹn (hiện lỗi khi trùng giờ); danh sách lịch hẹn theo ngày</t>
  </si>
  <si>
    <t>Tạo lần khám + kê đơn (hiện cảnh báo dị ứng); xem bệnh án</t>
  </si>
  <si>
    <t>Phần báo cáo phụ trách</t>
  </si>
  <si>
    <t>2.1 (gộp), 2.2 (gộp), 3, 4.1</t>
  </si>
  <si>
    <t>1, 1.1, 1.2 (gộp), tóm tắt, tài liệu tham khảo</t>
  </si>
  <si>
    <t>2.3 (gộp), 4.2, 5.1, 5.2</t>
  </si>
  <si>
    <t>Phân công viết báo cáo theo mẫu INT1313</t>
  </si>
  <si>
    <t>Người viết chính chịu trách nhiệm gộp và thống nhất văn phong; người đóng góp gửi nội dung mảng mình.</t>
  </si>
  <si>
    <t>Mục</t>
  </si>
  <si>
    <t>Nội dung</t>
  </si>
  <si>
    <t>Viết chính</t>
  </si>
  <si>
    <t>Đóng góp</t>
  </si>
  <si>
    <t>Phiên bản nộp</t>
  </si>
  <si>
    <t>Tuần hạn</t>
  </si>
  <si>
    <t>–</t>
  </si>
  <si>
    <t>Giới thiệu tóm tắt (~200 từ)</t>
  </si>
  <si>
    <t>Hữu Khoa, Đăng Khoa</t>
  </si>
  <si>
    <t>v1 → cập nhật mỗi bản</t>
  </si>
  <si>
    <t>1</t>
  </si>
  <si>
    <t>Giới thiệu đồ án &amp; phạm vi (ISO/IEC/IEEE 29148)</t>
  </si>
  <si>
    <t>1.1</t>
  </si>
  <si>
    <t>Mục tiêu hệ thống</t>
  </si>
  <si>
    <t>1.2</t>
  </si>
  <si>
    <t>Quy tắc &amp; ràng buộc nghiệp vụ</t>
  </si>
  <si>
    <t>Cả 3 (BR mảng mình)</t>
  </si>
  <si>
    <t>2</t>
  </si>
  <si>
    <t>Giới thiệu thiết kế CSDL</t>
  </si>
  <si>
    <t>2.1</t>
  </si>
  <si>
    <t>Mô hình khái niệm (ER/EER)</t>
  </si>
  <si>
    <t>Cả 3 (mảng mình)</t>
  </si>
  <si>
    <t>2.2</t>
  </si>
  <si>
    <t>Ánh xạ lược đồ logic</t>
  </si>
  <si>
    <t>2.3</t>
  </si>
  <si>
    <t>Kiểm tra chuẩn hóa 1NF → 3NF/BCNF</t>
  </si>
  <si>
    <t>3</t>
  </si>
  <si>
    <t>Từ điển dữ liệu (ISO/IEC 11179)</t>
  </si>
  <si>
    <t>Cả 3 (bảng mình)</t>
  </si>
  <si>
    <t>4.1</t>
  </si>
  <si>
    <t>DDL: bảng, view, index, trigger</t>
  </si>
  <si>
    <t>4.2</t>
  </si>
  <si>
    <t>Truy vấn nâng cao &amp; kiểm thử hiệu năng</t>
  </si>
  <si>
    <t>Cả 3 (4 truy vấn/người)</t>
  </si>
  <si>
    <t>5.1</t>
  </si>
  <si>
    <t>Các bài kiểm tra ràng buộc</t>
  </si>
  <si>
    <t>Cả 3 (test mảng mình)</t>
  </si>
  <si>
    <t>5.2</t>
  </si>
  <si>
    <t>Phân quyền RBAC (GRANT/REVOKE)</t>
  </si>
  <si>
    <t>TLTK</t>
  </si>
  <si>
    <t>Tài liệu tham khảo (APA 7th)</t>
  </si>
  <si>
    <t>Cả 3</t>
  </si>
  <si>
    <t>v4</t>
  </si>
  <si>
    <t>Slide</t>
  </si>
  <si>
    <t>Slide thuyết trình + kịch bản demo</t>
  </si>
  <si>
    <t>Cả 3 (slide mảng mình)</t>
  </si>
  <si>
    <t>Nhật ký tiến độ hàng tuần</t>
  </si>
  <si>
    <t>Mỗi thành viên thêm 1 dòng/tuần trước buổi họp. Dòng 5 là ví dụ mẫu – xóa hoặc giữ làm tham khảo.</t>
  </si>
  <si>
    <t>Ngày</t>
  </si>
  <si>
    <t>Đã làm tuần này (mã việc)</t>
  </si>
  <si>
    <t>Kế hoạch tuần sau</t>
  </si>
  <si>
    <t>Vướng mắc / cần hỗ trợ</t>
  </si>
  <si>
    <t>Link sản phẩm (commit, file)</t>
  </si>
  <si>
    <t>T02: tạo repo, README cài PostgreSQL. T04: khảo sát 2 phòng khám, ghi 12 quy tắc ca trực</t>
  </si>
  <si>
    <t>T07: viết BR-A01…A10</t>
  </si>
  <si>
    <t>Chưa rõ điều dưỡng có cần phân lớp riêng không – hỏi GV</t>
  </si>
  <si>
    <t>github.com/…/commit/…</t>
  </si>
  <si>
    <t>T02: cấu trúc repo, README cài PostgreSQL 16 + draw.io, gỡ file nhạy cảm khỏi repo public
T03: khảo sát mảng B (Medpro, YouMed, BookingCare), đề xuất 6 thực thể
T08: BR-B01…B11 kèm cơ chế và cách kiểm chứng; chạy thử EXCLUDE chống trùng lịch trên PG16
T06: báo cáo mục 1 và 1.1 (MT-01…07)</t>
  </si>
  <si>
    <t>T10: gộp mục 1.2 (BR mảng A, C), review chéo, nộp báo cáo v1</t>
  </si>
  <si>
    <t>Hữu Khoa: chốt phương án ánh xạ lớp bác sĩ đa khoa (ảnh hưởng BR-B09)
Cả nhóm: đồng ý bỏ BAO_HIEM_Y_TE khỏi mảng B
Đăng Khoa: giữ số hiệu BR-C01…C05 vì MT-04, MT-05 đang tham chiếu</t>
  </si>
  <si>
    <t>github.com/khoiln218/telemedicine
README.md
docs/khao-sat/T03_KhaoSat_MangB.md
docs/br/T08_BR_MangB.md
docs/…_v0.docx (mục 1, 1.1)</t>
  </si>
  <si>
    <t>T10: review chéo BR mảng A (BR_MangA.md) và C (T09), ghi điểm cần sửa vào kế hoạch; gộp mục 1.2 + 1.2.4 vào báo cáo v1 (docx đổi tên _v1)</t>
  </si>
  <si>
    <t>T10: chốt 1.2 với Hữu Khoa, Đăng Khoa, nộp v1 + báo cáo tiến độ. T12: vẽ ER/EER mảng B</t>
  </si>
  <si>
    <t>Hữu Khoa: xác nhận BR-A01…A08 theo review (giữ số hiệu v0), review BR mảng B
Đăng Khoa: sửa T09 theo review</t>
  </si>
  <si>
    <t>docs/INT1313_TX_G5_DeTai05_Telemedicine_v1.docx
docs/KeHoach_G5_Telemedicine.xlsx
nhánh member/Khoi</t>
  </si>
  <si>
    <t>T13, T15: review ERD và truy vết mảng C (PR #4), sửa theo review
Đơn giản hóa phạm vi A, B, C theo đề bài: bỏ NHAN_VIEN_Y_TE/DIEU_DUONG/LE_TAN, CO_SO_KHAM, HOA_DON, HO_SO_BENH_AN
T03, T04, T05: khảo sát theo ISO/IEC/IEEE 29148 (T04 soạn thay Hữu Khoa)
T07, T08, T09: quy tắc nghiệp vụ theo Business Rules Manifesto/SBVR; mảng B còn BR-B01…B07
T11, T12, T13, T14: ERD A, B, C và ERD tổng theo ký hiệu Chen/Elmasri (ERD A, ERD tổng soạn thay Hữu Khoa)
T15: ma trận truy vết hai chiều A, B, C
T17: báo cáo v2.1 có Giới thiệu tóm tắt, mục 1, 1.2, 2, 2.1 hoàn chỉnh, định dạng theo mẫu</t>
  </si>
  <si>
    <t>T17: review chéo, điền ngày nộp, nộp v2.1 + báo cáo tiến độ</t>
  </si>
  <si>
    <t>Hữu Khoa: review T04, T07, T11, T14 do Khôi soạn
Hữu Khoa, Đăng Khoa: xác nhận phần thu gọn mảng A, C
Cả nhóm: chốt tên khóa ma_bac_si, ma_chuyen_khoa; phương án ánh xạ phân lớp bác sĩ (8A/8B/8C)</t>
  </si>
  <si>
    <t>nhánh Khoi
docs/khao-sat/T03, T04, T05
docs/br/T07, T08, T09
erd/A, B, C, ERD_tong (.drawio, .png)
docs/traceability/T15_Traceability.md
docs/INT1313_TX_G5_DeTai05_Telemedicine_v2.1.docx</t>
  </si>
  <si>
    <t>Thống kê tiến độ &amp; mức đóng góp</t>
  </si>
  <si>
    <t>Tự tính từ sheet 'Kế hoạch' – không cần nhập.</t>
  </si>
  <si>
    <t>Số việc phụ trách</t>
  </si>
  <si>
    <t>Trễ hạn</t>
  </si>
  <si>
    <t>% việc hoàn thành</t>
  </si>
  <si>
    <t>% hoàn thành TB</t>
  </si>
  <si>
    <t>Số việc review</t>
  </si>
  <si>
    <t>Tổng</t>
  </si>
  <si>
    <t>Tiến độ theo giai đoạn</t>
  </si>
  <si>
    <t>Số việc</t>
  </si>
  <si>
    <t>Ghi chú: việc của 'Cả nhóm' tính riêng; dùng bảng này cùng sheet 'Báo cáo tuần' làm căn cứ cho đánh giá chéo (15% điểm cá nhân).</t>
  </si>
  <si>
    <t>docs/5_anh-xa/T20_AnhXa_MangB.md – 4 bảng BENH_NHAN, GIAY_CHUYEN_KHOA, LICH_HEN, TAI_KHOAN; PK/FK theo Elmasri bước 1–8, LICH_HEN chọn 8C (27/10); chờ Hữu Khoa review, xác nhận 8A cho BAC_SI (T19)</t>
  </si>
  <si>
    <t>docs/6_chuan-hoa/T24_FD_MangB.md – FD (phủ tối thiểu), FD đã loại kèm lý do, khóa ứng viên 4 bảng; BENH_NHAN có 2 khóa {ma_bn}, {sdt} (27/10); chờ Đăng Khoa review</t>
  </si>
  <si>
    <t>docs/6_chuan-hoa/T27_ChuanHoa_MangB.md – 4 bảng đạt BCNF, không tách; lập luận riêng cho FD có điều kiện (cột UNIQUE cho phép NULL); vai_tro trùng loai_nv chuyển T30 (27/10); chờ Đăng Khoa review</t>
  </si>
  <si>
    <t>T21: review ánh xạ mảng C. T29: điền từ điển dữ liệu bảng mảng B</t>
  </si>
  <si>
    <t>sql/B_schema.sql – 4 bảng; CHECK hình thức (8C), hạn giấy 30 ngày, chủ tài khoản; FK kép (ma_giay, ma_bn) cho BR-B03; EXCLUDE gist chống trùng lịch bác sĩ, bệnh nhân (BR-B02); 4 index. Đã chạy thử trên PG16 với bảng A giả lập (27/10). Giả định khóa A kiểu INTEGER, BAC_SI theo 8A – chờ T18, T32</t>
  </si>
  <si>
    <t>sql/B_trigger_view.sql – trg_lich_hen_hop_le (BR-B01 trong ca; BR-B03 giấy đúng chuyên khoa, còn hạn, miễn tái khám), trg_trang_thai_lich_hen (BR-B05), trg_tai_khoan_vai_tro (BR-B09), trg_tai_khoan_khong_xoa (BR-B10); view v_lich_hen_hom_nay. Chạy thử PG16 với bảng A giả lập: 17 ca vi phạm đều bị chặn (27/10). Giả định cột ca_lam_viec, bac_si_chuyen_khoa – chờ T32</t>
  </si>
  <si>
    <t>docs/6_chuan-hoa/T30_ReviewCheo.md – đã rà phần B (Khôi, 27/10): L01 sửa T20 (FK kép giấy – bệnh nhân); L02–L04 diễn giải trigger đã xác nhận, ghi vào T08 mục 5; ERD B không phải sửa; chờ A, C (T19, T21, T26, T28), mục 3 (T29); C1 vai_tro/loai_nv chờ nhóm họp</t>
  </si>
  <si>
    <t>sql/queries_B.sql – Q1 tỷ lệ hủy/vắng theo bác sĩ (JOIN, FILTER, HAVING); Q2 doanh thu chuyên khoa theo tháng (hàm cửa sổ); Q3 bệnh nhân &gt; 3 lần khám/6 tháng (subquery FROM + EXISTS tương quan); Q4 khung giờ đông nhất, tỷ lệ từ xa (ROLLUP, RANK). Kiểm chứng trên dữ liệu thử qua trigger, đối chiếu tính độc lập bằng Python: khớp (27/10). Chờ Đăng Khoa review</t>
  </si>
  <si>
    <t>docs/INT1313_TX_G5_DeTai05_Telemedicine_v2.1.docx – mục Giới thiệu tóm tắt, 1, 1.2, 2, 2.1 hoàn chỉnh, có ERD tổng; đã nộp 21/10/2026</t>
  </si>
  <si>
    <t>docs/INT1313_TX_G5_DeTai05_Telemedicine_v2.2.docx (nháp, 27/10) – trang bìa v2.2; đã điền phần B mục 2.2 (bước ánh xạ, 8C cho LICH_HEN, lược đồ, khóa ngoại), 2.3 (FD, khóa, chứng minh BCNF), 3 (4 bảng, miền giá trị); phần A, C để chữ xám chờ T19, T21, T23, T25, T26, T28, T29; còn Hình 2.2, review chéo, nộp</t>
  </si>
  <si>
    <t>T20: ánh xạ mảng B sang lược đồ quan hệ (Elmasri bước 1–8): 4 bảng, PK/FK, UNIQUE; phân lớp LICH_HEN chọn 8C; truy vết ERD → lược đồ, quy tắc còn lại cho cài đặt
T24: FD và khóa ứng viên 4 bảng mảng B, ghi FD đã xét và loại; nêu 2 điểm cho T27/T30 (FD có điều kiện trên cột UNIQUE cho phép NULL; TAI_KHOAN.vai_tro trùng NHAN_VIEN.loai_nv)
T27: chứng minh 1NF → BCNF 4 bảng mảng B, không phải tách; ghi các thiết kế đã tránh vi phạm 3NF
T33 (làm sớm): DDL mảng B, chạy thử 17 ca vi phạm trên PG16 đều bị chặn
T37 (làm sớm): 4 trigger + view v_lich_hen_hom_nay mảng B, chạy thử 17 ca vi phạm đều bị chặn
T30 (phần B): đối chiếu T20, T24, T27 với DDL, trigger; sửa T20 (FK kép giấy – bệnh nhân); lập danh sách lỗi, bảng quy tắc → cơ chế
T41 (làm sớm): 4 truy vấn mảng B, kiểm chứng trên dữ liệu thử đi qua trigger
T31 (nháp v2.2): điền phần B mục 2.2, 2.3, 3 vào báo cáo (đổi tên file sang _v2.2); bổ sung CHECK email, ngày sinh cho benh_nhan theo 1.2.4</t>
  </si>
  <si>
    <t>Hữu Khoa: chốt phương án ánh xạ BAC_SI (8A hay 8C) ở T19 – ảnh hưởng FK ma_bac_si_lap → BAC_SI_DA_KHOA; review T20
Đăng Khoa: review T24; chốt cách trình bày FD có điều kiện ở T22
Đăng Khoa: review T27; T30 chốt TAI_KHOAN.vai_tro (giữ hay suy từ loai_nv)
Hữu Khoa: T18 chốt kiểu khóa (INTEGER identity), giá trị loai_nv trùng vai_tro (QUAN_TRI_NHAN_SU, QUAN_TRI_TAI_KHOAN, QUAN_TRI_DANH_MUC, BAC_SI, LE_TAN); review T33
Đăng Khoa: review T37; T39 seed phải thêm lịch hẹn ở DA_DAT rồi UPDATE, lịch nằm trong ca, lịch chuyên khoa có giấy hoặc tái khám
Cả nhóm: họp chốt C1 (TAI_KHOAN.vai_tro trùng loai_nv, BR-B10 đổi vai trò mâu thuẫn BR-A09)
Hữu Khoa, Đăng Khoa: điền phần A, C vào docs/…_v2.2.docx (chỗ chữ xám); Hữu Khoa vẽ Hình 2.2 lược đồ quan hệ</t>
  </si>
  <si>
    <t>docs/5_anh-xa/T20_AnhXa_MangB.md
commit 78857c7, nhánh Khoi
docs/6_chuan-hoa/T24_FD_MangB.md
docs/6_chuan-hoa/T27_ChuanHoa_MangB.md
sql/B_schema.sql
sql/B_trigger_view.sql
docs/6_chuan-hoa/T30_ReviewCheo.md
sql/queries_B.sql
docs/INT1313_TX_G5_DeTai05_Telemedicine_v2.2.docx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</si>
</sst>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"/>
  </numFmts>
  <fonts count="9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i/>
      <sz val="10"/>
      <color rgb="FF595959"/>
      <name val="Arial"/>
      <family val="2"/>
    </font>
    <font>
      <b/>
      <sz val="10"/>
      <color rgb="FF000000"/>
      <name val="Arial"/>
      <family val="2"/>
    </font>
    <font>
      <b/>
      <sz val="12"/>
      <color rgb="FF1F4E78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i/>
      <sz val="10"/>
      <color rgb="FF7F7F7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7F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2" borderId="1" xfId="0" applyNumberFormat="1" applyFill="1" applyBorder="1"/>
    <xf numFmtId="0" fontId="4" fillId="0" borderId="0" xfId="0" applyFont="1"/>
    <xf numFmtId="0" fontId="5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vertical="top" wrapText="1"/>
    </xf>
    <xf numFmtId="165" fontId="6" fillId="4" borderId="1" xfId="0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9" fontId="6" fillId="2" borderId="1" xfId="0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165" fontId="6" fillId="5" borderId="1" xfId="0" applyNumberFormat="1" applyFont="1" applyFill="1" applyBorder="1" applyAlignment="1">
      <alignment horizontal="center" vertical="top" wrapText="1"/>
    </xf>
    <xf numFmtId="165" fontId="6" fillId="6" borderId="1" xfId="0" applyNumberFormat="1" applyFont="1" applyFill="1" applyBorder="1" applyAlignment="1">
      <alignment horizontal="center" vertical="top" wrapText="1"/>
    </xf>
    <xf numFmtId="165" fontId="6" fillId="7" borderId="1" xfId="0" applyNumberFormat="1" applyFont="1" applyFill="1" applyBorder="1" applyAlignment="1">
      <alignment horizontal="center" vertical="top" wrapText="1"/>
    </xf>
    <xf numFmtId="165" fontId="6" fillId="8" borderId="1" xfId="0" applyNumberFormat="1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vertical="top" wrapText="1"/>
    </xf>
    <xf numFmtId="0" fontId="8" fillId="0" borderId="1" xfId="0" applyFont="1" applyBorder="1" applyAlignment="1">
      <alignment horizontal="center" vertical="top" wrapText="1"/>
    </xf>
    <xf numFmtId="164" fontId="8" fillId="0" borderId="1" xfId="0" applyNumberFormat="1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164" fontId="6" fillId="2" borderId="1" xfId="0" applyNumberFormat="1" applyFont="1" applyFill="1" applyBorder="1" applyAlignment="1">
      <alignment horizontal="center" vertical="top" wrapText="1"/>
    </xf>
    <xf numFmtId="164" fontId="0" fillId="0" borderId="0" xfId="0" applyNumberFormat="1"/>
    <xf numFmtId="0" fontId="3" fillId="0" borderId="1" xfId="0" applyFont="1" applyBorder="1" applyAlignment="1">
      <alignment vertical="top" wrapText="1"/>
    </xf>
    <xf numFmtId="9" fontId="6" fillId="0" borderId="1" xfId="0" applyNumberFormat="1" applyFont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9" fontId="3" fillId="9" borderId="1" xfId="0" applyNumberFormat="1" applyFont="1" applyFill="1" applyBorder="1" applyAlignment="1">
      <alignment horizontal="center" vertical="top" wrapText="1"/>
    </xf>
    <xf numFmtId="9" fontId="6" fillId="4" borderId="1" xfId="0" applyNumberFormat="1" applyFont="1" applyFill="1" applyBorder="1" applyAlignment="1">
      <alignment horizontal="center" vertical="top" wrapText="1"/>
    </xf>
    <xf numFmtId="9" fontId="6" fillId="5" borderId="1" xfId="0" applyNumberFormat="1" applyFont="1" applyFill="1" applyBorder="1" applyAlignment="1">
      <alignment horizontal="center" vertical="top" wrapText="1"/>
    </xf>
    <xf numFmtId="9" fontId="6" fillId="6" borderId="1" xfId="0" applyNumberFormat="1" applyFont="1" applyFill="1" applyBorder="1" applyAlignment="1">
      <alignment horizontal="center" vertical="top" wrapText="1"/>
    </xf>
    <xf numFmtId="9" fontId="6" fillId="7" borderId="1" xfId="0" applyNumberFormat="1" applyFont="1" applyFill="1" applyBorder="1" applyAlignment="1">
      <alignment horizontal="center" vertical="top" wrapText="1"/>
    </xf>
    <xf numFmtId="9" fontId="6" fillId="8" borderId="1" xfId="0" applyNumberFormat="1" applyFont="1" applyFill="1" applyBorder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0" fillId="0" borderId="0" xfId="0"/>
    <xf numFmtId="0" fontId="6" fillId="0" borderId="0" xfId="0" applyFont="1"/>
  </cellXfs>
  <cellStyles count="1">
    <cellStyle name="Normal" xfId="0" builtinId="0"/>
  </cellStyles>
  <dxfs count="6">
    <dxf>
      <font>
        <color rgb="FF9C0006"/>
        <name val="Arial"/>
      </font>
      <fill>
        <patternFill patternType="solid">
          <fgColor rgb="FFFFC7CE"/>
        </patternFill>
      </fill>
    </dxf>
    <dxf>
      <fill>
        <patternFill patternType="solid">
          <fgColor rgb="FFBDD7EE"/>
        </patternFill>
      </fill>
    </dxf>
    <dxf>
      <font>
        <color rgb="FF006100"/>
        <name val="Arial"/>
      </font>
      <fill>
        <patternFill patternType="solid">
          <fgColor rgb="FFC6EFCE"/>
        </patternFill>
      </fill>
    </dxf>
    <dxf>
      <font>
        <color rgb="FF808080"/>
      </font>
    </dxf>
    <dxf>
      <font>
        <strike/>
        <color rgb="FF808080"/>
      </font>
    </dxf>
    <dxf>
      <font>
        <color rgb="FF80808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22" customWidth="1"/>
    <col min="3" max="3" width="16" customWidth="1"/>
    <col min="4" max="4" width="38" customWidth="1"/>
    <col min="5" max="6" width="44" customWidth="1"/>
  </cols>
  <sheetData>
    <row r="1" spans="1:6" ht="18" customHeight="1" x14ac:dyDescent="0.2">
      <c r="A1" s="1" t="s">
        <v>206</v>
      </c>
    </row>
    <row r="2" spans="1:6" x14ac:dyDescent="0.2">
      <c r="A2" s="2" t="s">
        <v>207</v>
      </c>
    </row>
    <row r="4" spans="1:6" x14ac:dyDescent="0.2">
      <c r="A4" s="3" t="s">
        <v>208</v>
      </c>
      <c r="B4" s="4"/>
      <c r="C4" s="2" t="s">
        <v>209</v>
      </c>
    </row>
    <row r="6" spans="1:6" ht="16" customHeight="1" x14ac:dyDescent="0.2">
      <c r="A6" s="5" t="s">
        <v>210</v>
      </c>
    </row>
    <row r="7" spans="1:6" x14ac:dyDescent="0.2">
      <c r="A7" s="6" t="s">
        <v>211</v>
      </c>
      <c r="B7" s="6" t="s">
        <v>212</v>
      </c>
      <c r="C7" s="6" t="s">
        <v>213</v>
      </c>
      <c r="D7" s="6" t="s">
        <v>214</v>
      </c>
      <c r="E7" s="6" t="s">
        <v>215</v>
      </c>
      <c r="F7" s="6" t="s">
        <v>216</v>
      </c>
    </row>
    <row r="8" spans="1:6" ht="45" customHeight="1" x14ac:dyDescent="0.2">
      <c r="A8" s="7" t="s">
        <v>22</v>
      </c>
      <c r="B8" s="8" t="s">
        <v>217</v>
      </c>
      <c r="C8" s="7" t="s">
        <v>218</v>
      </c>
      <c r="D8" s="8" t="s">
        <v>219</v>
      </c>
      <c r="E8" s="8" t="s">
        <v>220</v>
      </c>
      <c r="F8" s="8" t="s">
        <v>221</v>
      </c>
    </row>
    <row r="9" spans="1:6" ht="45" customHeight="1" x14ac:dyDescent="0.2">
      <c r="A9" s="7" t="s">
        <v>34</v>
      </c>
      <c r="B9" s="8" t="s">
        <v>222</v>
      </c>
      <c r="C9" s="7" t="s">
        <v>223</v>
      </c>
      <c r="D9" s="8" t="s">
        <v>224</v>
      </c>
      <c r="E9" s="8" t="s">
        <v>225</v>
      </c>
      <c r="F9" s="8" t="s">
        <v>226</v>
      </c>
    </row>
    <row r="10" spans="1:6" ht="45" customHeight="1" x14ac:dyDescent="0.2">
      <c r="A10" s="7" t="s">
        <v>28</v>
      </c>
      <c r="B10" s="8" t="s">
        <v>227</v>
      </c>
      <c r="C10" s="7" t="s">
        <v>228</v>
      </c>
      <c r="D10" s="8" t="s">
        <v>229</v>
      </c>
      <c r="E10" s="8" t="s">
        <v>230</v>
      </c>
      <c r="F10" s="8" t="s">
        <v>231</v>
      </c>
    </row>
    <row r="11" spans="1:6" ht="30" customHeight="1" x14ac:dyDescent="0.2">
      <c r="A11" s="42" t="s">
        <v>232</v>
      </c>
      <c r="B11" s="43"/>
      <c r="C11" s="43"/>
      <c r="D11" s="43"/>
      <c r="E11" s="43"/>
      <c r="F11" s="43"/>
    </row>
    <row r="13" spans="1:6" ht="16" customHeight="1" x14ac:dyDescent="0.2">
      <c r="A13" s="5" t="s">
        <v>233</v>
      </c>
    </row>
    <row r="14" spans="1:6" x14ac:dyDescent="0.2">
      <c r="A14" s="6" t="s">
        <v>2</v>
      </c>
      <c r="B14" s="6" t="s">
        <v>6</v>
      </c>
      <c r="C14" s="6" t="s">
        <v>3</v>
      </c>
      <c r="D14" s="6" t="s">
        <v>234</v>
      </c>
      <c r="E14" s="6" t="s">
        <v>235</v>
      </c>
      <c r="F14" s="6" t="s">
        <v>236</v>
      </c>
    </row>
    <row r="15" spans="1:6" ht="28" customHeight="1" x14ac:dyDescent="0.2">
      <c r="A15" s="9" t="s">
        <v>15</v>
      </c>
      <c r="B15" s="10" t="s">
        <v>237</v>
      </c>
      <c r="C15" s="9" t="s">
        <v>238</v>
      </c>
      <c r="D15" s="10" t="s">
        <v>239</v>
      </c>
      <c r="E15" s="10" t="s">
        <v>240</v>
      </c>
      <c r="F15" s="9" t="s">
        <v>241</v>
      </c>
    </row>
    <row r="16" spans="1:6" ht="28" customHeight="1" x14ac:dyDescent="0.2">
      <c r="A16" s="11" t="s">
        <v>62</v>
      </c>
      <c r="B16" s="12" t="s">
        <v>242</v>
      </c>
      <c r="C16" s="11" t="s">
        <v>243</v>
      </c>
      <c r="D16" s="12" t="s">
        <v>244</v>
      </c>
      <c r="E16" s="12" t="s">
        <v>245</v>
      </c>
      <c r="F16" s="11" t="s">
        <v>246</v>
      </c>
    </row>
    <row r="17" spans="1:6" ht="28" customHeight="1" x14ac:dyDescent="0.2">
      <c r="A17" s="13" t="s">
        <v>90</v>
      </c>
      <c r="B17" s="14" t="s">
        <v>247</v>
      </c>
      <c r="C17" s="13" t="s">
        <v>248</v>
      </c>
      <c r="D17" s="14" t="s">
        <v>249</v>
      </c>
      <c r="E17" s="14" t="s">
        <v>250</v>
      </c>
      <c r="F17" s="13" t="s">
        <v>251</v>
      </c>
    </row>
    <row r="18" spans="1:6" ht="28" customHeight="1" x14ac:dyDescent="0.2">
      <c r="A18" s="15" t="s">
        <v>133</v>
      </c>
      <c r="B18" s="16" t="s">
        <v>252</v>
      </c>
      <c r="C18" s="15" t="s">
        <v>253</v>
      </c>
      <c r="D18" s="16" t="s">
        <v>254</v>
      </c>
      <c r="E18" s="16" t="s">
        <v>255</v>
      </c>
      <c r="F18" s="15" t="s">
        <v>256</v>
      </c>
    </row>
    <row r="19" spans="1:6" ht="28" customHeight="1" x14ac:dyDescent="0.2">
      <c r="A19" s="17" t="s">
        <v>179</v>
      </c>
      <c r="B19" s="18" t="s">
        <v>257</v>
      </c>
      <c r="C19" s="17" t="s">
        <v>258</v>
      </c>
      <c r="D19" s="18" t="s">
        <v>259</v>
      </c>
      <c r="E19" s="18" t="s">
        <v>260</v>
      </c>
      <c r="F19" s="17" t="s">
        <v>261</v>
      </c>
    </row>
    <row r="21" spans="1:6" ht="16" customHeight="1" x14ac:dyDescent="0.2">
      <c r="A21" s="5" t="s">
        <v>262</v>
      </c>
    </row>
    <row r="22" spans="1:6" x14ac:dyDescent="0.2">
      <c r="A22" s="3" t="s">
        <v>263</v>
      </c>
      <c r="B22" s="44" t="s">
        <v>264</v>
      </c>
      <c r="C22" s="43"/>
      <c r="D22" s="43"/>
      <c r="E22" s="43"/>
      <c r="F22" s="43"/>
    </row>
    <row r="23" spans="1:6" x14ac:dyDescent="0.2">
      <c r="A23" s="3" t="s">
        <v>265</v>
      </c>
      <c r="B23" s="44" t="s">
        <v>266</v>
      </c>
      <c r="C23" s="43"/>
      <c r="D23" s="43"/>
      <c r="E23" s="43"/>
      <c r="F23" s="43"/>
    </row>
    <row r="24" spans="1:6" x14ac:dyDescent="0.2">
      <c r="A24" s="3" t="s">
        <v>267</v>
      </c>
      <c r="B24" s="44" t="s">
        <v>268</v>
      </c>
      <c r="C24" s="43"/>
      <c r="D24" s="43"/>
      <c r="E24" s="43"/>
      <c r="F24" s="43"/>
    </row>
    <row r="25" spans="1:6" x14ac:dyDescent="0.2">
      <c r="A25" s="3" t="s">
        <v>269</v>
      </c>
      <c r="B25" s="44" t="s">
        <v>270</v>
      </c>
      <c r="C25" s="43"/>
      <c r="D25" s="43"/>
      <c r="E25" s="43"/>
      <c r="F25" s="43"/>
    </row>
    <row r="26" spans="1:6" x14ac:dyDescent="0.2">
      <c r="A26" s="3" t="s">
        <v>271</v>
      </c>
      <c r="B26" s="44" t="s">
        <v>272</v>
      </c>
      <c r="C26" s="43"/>
      <c r="D26" s="43"/>
      <c r="E26" s="43"/>
      <c r="F26" s="43"/>
    </row>
    <row r="28" spans="1:6" ht="16" customHeight="1" x14ac:dyDescent="0.2">
      <c r="A28" s="5" t="s">
        <v>273</v>
      </c>
    </row>
    <row r="29" spans="1:6" x14ac:dyDescent="0.2">
      <c r="A29" s="44" t="s">
        <v>274</v>
      </c>
      <c r="B29" s="43"/>
      <c r="C29" s="43"/>
      <c r="D29" s="43"/>
      <c r="E29" s="43"/>
      <c r="F29" s="43"/>
    </row>
    <row r="30" spans="1:6" x14ac:dyDescent="0.2">
      <c r="A30" s="44" t="s">
        <v>275</v>
      </c>
      <c r="B30" s="43"/>
      <c r="C30" s="43"/>
      <c r="D30" s="43"/>
      <c r="E30" s="43"/>
      <c r="F30" s="43"/>
    </row>
    <row r="31" spans="1:6" x14ac:dyDescent="0.2">
      <c r="A31" s="44" t="s">
        <v>276</v>
      </c>
      <c r="B31" s="43"/>
      <c r="C31" s="43"/>
      <c r="D31" s="43"/>
      <c r="E31" s="43"/>
      <c r="F31" s="43"/>
    </row>
    <row r="32" spans="1:6" x14ac:dyDescent="0.2">
      <c r="A32" s="44" t="s">
        <v>277</v>
      </c>
      <c r="B32" s="43"/>
      <c r="C32" s="43"/>
      <c r="D32" s="43"/>
      <c r="E32" s="43"/>
      <c r="F32" s="43"/>
    </row>
  </sheetData>
  <mergeCells count="10">
    <mergeCell ref="A11:F11"/>
    <mergeCell ref="B24:F24"/>
    <mergeCell ref="B25:F25"/>
    <mergeCell ref="A32:F32"/>
    <mergeCell ref="A31:F31"/>
    <mergeCell ref="B23:F23"/>
    <mergeCell ref="B22:F22"/>
    <mergeCell ref="A30:F30"/>
    <mergeCell ref="B26:F26"/>
    <mergeCell ref="A29:F29"/>
  </mergeCells>
  <pageMargins left="0.75" right="0.75" top="1" bottom="1" header="0.5" footer="0.5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9"/>
  <sheetViews>
    <sheetView showGridLines="0" tabSelected="1" workbookViewId="0">
      <pane xSplit="6" ySplit="4" topLeftCell="G24" activePane="bottomRight" state="frozen"/>
      <selection pane="topRight"/>
      <selection pane="bottomLeft"/>
      <selection pane="bottomRight" activeCell="F35" sqref="F35"/>
    </sheetView>
  </sheetViews>
  <sheetFormatPr baseColWidth="10" defaultColWidth="8.83203125" defaultRowHeight="15" x14ac:dyDescent="0.2"/>
  <cols>
    <col min="1" max="2" width="7" customWidth="1"/>
    <col min="3" max="4" width="11" customWidth="1"/>
    <col min="5" max="5" width="9" customWidth="1"/>
    <col min="6" max="6" width="58" customWidth="1"/>
    <col min="7" max="8" width="14" customWidth="1"/>
    <col min="9" max="9" width="36" customWidth="1"/>
    <col min="10" max="10" width="14" customWidth="1"/>
    <col min="11" max="11" width="11" customWidth="1"/>
    <col min="12" max="12" width="28" customWidth="1"/>
  </cols>
  <sheetData>
    <row r="1" spans="1:12" ht="18" customHeight="1" x14ac:dyDescent="0.2">
      <c r="A1" s="1" t="s">
        <v>0</v>
      </c>
    </row>
    <row r="2" spans="1:12" x14ac:dyDescent="0.2">
      <c r="A2" s="2" t="s">
        <v>1</v>
      </c>
    </row>
    <row r="4" spans="1:12" ht="28" customHeight="1" x14ac:dyDescent="0.2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</row>
    <row r="5" spans="1:12" ht="28" customHeight="1" x14ac:dyDescent="0.2">
      <c r="A5" s="9" t="s">
        <v>14</v>
      </c>
      <c r="B5" s="9">
        <v>1</v>
      </c>
      <c r="C5" s="19" t="str">
        <f>IF('Tổng quan'!$B$4="","",'Tổng quan'!$B$4+(B5-1)*7)</f>
        <v/>
      </c>
      <c r="D5" s="19" t="str">
        <f>IF('Tổng quan'!$B$4="","",C5+6)</f>
        <v/>
      </c>
      <c r="E5" s="9" t="s">
        <v>15</v>
      </c>
      <c r="F5" s="10" t="s">
        <v>16</v>
      </c>
      <c r="G5" s="9" t="s">
        <v>17</v>
      </c>
      <c r="H5" s="9" t="s">
        <v>17</v>
      </c>
      <c r="I5" s="10" t="s">
        <v>18</v>
      </c>
      <c r="J5" s="20" t="s">
        <v>19</v>
      </c>
      <c r="K5" s="21">
        <v>0</v>
      </c>
      <c r="L5" s="22"/>
    </row>
    <row r="6" spans="1:12" ht="70" x14ac:dyDescent="0.2">
      <c r="A6" s="9" t="s">
        <v>20</v>
      </c>
      <c r="B6" s="9">
        <v>1</v>
      </c>
      <c r="C6" s="19" t="str">
        <f>IF('Tổng quan'!$B$4="","",'Tổng quan'!$B$4+(B6-1)*7)</f>
        <v/>
      </c>
      <c r="D6" s="19" t="str">
        <f>IF('Tổng quan'!$B$4="","",C6+6)</f>
        <v/>
      </c>
      <c r="E6" s="9" t="s">
        <v>15</v>
      </c>
      <c r="F6" s="10" t="s">
        <v>21</v>
      </c>
      <c r="G6" s="9" t="s">
        <v>22</v>
      </c>
      <c r="H6" s="9" t="s">
        <v>17</v>
      </c>
      <c r="I6" s="10" t="s">
        <v>23</v>
      </c>
      <c r="J6" s="20" t="s">
        <v>24</v>
      </c>
      <c r="K6" s="21">
        <v>0.8</v>
      </c>
      <c r="L6" s="22" t="s">
        <v>25</v>
      </c>
    </row>
    <row r="7" spans="1:12" ht="42" customHeight="1" x14ac:dyDescent="0.2">
      <c r="A7" s="9" t="s">
        <v>26</v>
      </c>
      <c r="B7" s="9">
        <v>1</v>
      </c>
      <c r="C7" s="19" t="str">
        <f>IF('Tổng quan'!$B$4="","",'Tổng quan'!$B$4+(B7-1)*7)</f>
        <v/>
      </c>
      <c r="D7" s="19" t="str">
        <f>IF('Tổng quan'!$B$4="","",C7+6)</f>
        <v/>
      </c>
      <c r="E7" s="9" t="s">
        <v>15</v>
      </c>
      <c r="F7" s="10" t="s">
        <v>27</v>
      </c>
      <c r="G7" s="9" t="s">
        <v>22</v>
      </c>
      <c r="H7" s="9" t="s">
        <v>28</v>
      </c>
      <c r="I7" s="10" t="s">
        <v>29</v>
      </c>
      <c r="J7" s="20" t="s">
        <v>30</v>
      </c>
      <c r="K7" s="21">
        <v>1</v>
      </c>
      <c r="L7" s="22" t="s">
        <v>31</v>
      </c>
    </row>
    <row r="8" spans="1:12" ht="28" customHeight="1" x14ac:dyDescent="0.2">
      <c r="A8" s="9" t="s">
        <v>32</v>
      </c>
      <c r="B8" s="9">
        <v>1</v>
      </c>
      <c r="C8" s="19" t="str">
        <f>IF('Tổng quan'!$B$4="","",'Tổng quan'!$B$4+(B8-1)*7)</f>
        <v/>
      </c>
      <c r="D8" s="19" t="str">
        <f>IF('Tổng quan'!$B$4="","",C8+6)</f>
        <v/>
      </c>
      <c r="E8" s="9" t="s">
        <v>15</v>
      </c>
      <c r="F8" s="10" t="s">
        <v>33</v>
      </c>
      <c r="G8" s="9" t="s">
        <v>34</v>
      </c>
      <c r="H8" s="9" t="s">
        <v>22</v>
      </c>
      <c r="I8" s="10" t="s">
        <v>35</v>
      </c>
      <c r="J8" s="20" t="s">
        <v>30</v>
      </c>
      <c r="K8" s="21">
        <v>1</v>
      </c>
      <c r="L8" s="22" t="s">
        <v>36</v>
      </c>
    </row>
    <row r="9" spans="1:12" ht="42" customHeight="1" x14ac:dyDescent="0.2">
      <c r="A9" s="9" t="s">
        <v>37</v>
      </c>
      <c r="B9" s="9">
        <v>1</v>
      </c>
      <c r="C9" s="19" t="str">
        <f>IF('Tổng quan'!$B$4="","",'Tổng quan'!$B$4+(B9-1)*7)</f>
        <v/>
      </c>
      <c r="D9" s="19" t="str">
        <f>IF('Tổng quan'!$B$4="","",C9+6)</f>
        <v/>
      </c>
      <c r="E9" s="9" t="s">
        <v>15</v>
      </c>
      <c r="F9" s="10" t="s">
        <v>38</v>
      </c>
      <c r="G9" s="9" t="s">
        <v>28</v>
      </c>
      <c r="H9" s="9" t="s">
        <v>34</v>
      </c>
      <c r="I9" s="10" t="s">
        <v>39</v>
      </c>
      <c r="J9" s="20" t="s">
        <v>30</v>
      </c>
      <c r="K9" s="21">
        <v>1</v>
      </c>
      <c r="L9" s="22" t="s">
        <v>40</v>
      </c>
    </row>
    <row r="10" spans="1:12" ht="56" customHeight="1" x14ac:dyDescent="0.2">
      <c r="A10" s="9" t="s">
        <v>41</v>
      </c>
      <c r="B10" s="9">
        <v>2</v>
      </c>
      <c r="C10" s="19" t="str">
        <f>IF('Tổng quan'!$B$4="","",'Tổng quan'!$B$4+(B10-1)*7)</f>
        <v/>
      </c>
      <c r="D10" s="19" t="str">
        <f>IF('Tổng quan'!$B$4="","",C10+6)</f>
        <v/>
      </c>
      <c r="E10" s="9" t="s">
        <v>15</v>
      </c>
      <c r="F10" s="10" t="s">
        <v>42</v>
      </c>
      <c r="G10" s="9" t="s">
        <v>22</v>
      </c>
      <c r="H10" s="9" t="s">
        <v>34</v>
      </c>
      <c r="I10" s="10" t="s">
        <v>43</v>
      </c>
      <c r="J10" s="20" t="s">
        <v>30</v>
      </c>
      <c r="K10" s="21">
        <v>1</v>
      </c>
      <c r="L10" s="22" t="s">
        <v>44</v>
      </c>
    </row>
    <row r="11" spans="1:12" ht="70" x14ac:dyDescent="0.2">
      <c r="A11" s="9" t="s">
        <v>45</v>
      </c>
      <c r="B11" s="9">
        <v>2</v>
      </c>
      <c r="C11" s="19" t="str">
        <f>IF('Tổng quan'!$B$4="","",'Tổng quan'!$B$4+(B11-1)*7)</f>
        <v/>
      </c>
      <c r="D11" s="19" t="str">
        <f>IF('Tổng quan'!$B$4="","",C11+6)</f>
        <v/>
      </c>
      <c r="E11" s="9" t="s">
        <v>15</v>
      </c>
      <c r="F11" s="10" t="s">
        <v>46</v>
      </c>
      <c r="G11" s="9" t="s">
        <v>34</v>
      </c>
      <c r="H11" s="9" t="s">
        <v>28</v>
      </c>
      <c r="I11" s="10" t="s">
        <v>47</v>
      </c>
      <c r="J11" s="20" t="s">
        <v>30</v>
      </c>
      <c r="K11" s="21">
        <v>1</v>
      </c>
      <c r="L11" s="22" t="s">
        <v>48</v>
      </c>
    </row>
    <row r="12" spans="1:12" ht="56" customHeight="1" x14ac:dyDescent="0.2">
      <c r="A12" s="9" t="s">
        <v>49</v>
      </c>
      <c r="B12" s="9">
        <v>2</v>
      </c>
      <c r="C12" s="19" t="str">
        <f>IF('Tổng quan'!$B$4="","",'Tổng quan'!$B$4+(B12-1)*7)</f>
        <v/>
      </c>
      <c r="D12" s="19" t="str">
        <f>IF('Tổng quan'!$B$4="","",C12+6)</f>
        <v/>
      </c>
      <c r="E12" s="9" t="s">
        <v>15</v>
      </c>
      <c r="F12" s="10" t="s">
        <v>50</v>
      </c>
      <c r="G12" s="9" t="s">
        <v>22</v>
      </c>
      <c r="H12" s="9" t="s">
        <v>34</v>
      </c>
      <c r="I12" s="10" t="s">
        <v>51</v>
      </c>
      <c r="J12" s="20" t="s">
        <v>30</v>
      </c>
      <c r="K12" s="21">
        <v>1</v>
      </c>
      <c r="L12" s="22" t="s">
        <v>52</v>
      </c>
    </row>
    <row r="13" spans="1:12" ht="56" x14ac:dyDescent="0.2">
      <c r="A13" s="9" t="s">
        <v>53</v>
      </c>
      <c r="B13" s="9">
        <v>2</v>
      </c>
      <c r="C13" s="19" t="str">
        <f>IF('Tổng quan'!$B$4="","",'Tổng quan'!$B$4+(B13-1)*7)</f>
        <v/>
      </c>
      <c r="D13" s="19" t="str">
        <f>IF('Tổng quan'!$B$4="","",C13+6)</f>
        <v/>
      </c>
      <c r="E13" s="9" t="s">
        <v>15</v>
      </c>
      <c r="F13" s="10" t="s">
        <v>54</v>
      </c>
      <c r="G13" s="9" t="s">
        <v>28</v>
      </c>
      <c r="H13" s="9" t="s">
        <v>22</v>
      </c>
      <c r="I13" s="10" t="s">
        <v>55</v>
      </c>
      <c r="J13" s="20" t="s">
        <v>30</v>
      </c>
      <c r="K13" s="21">
        <v>1</v>
      </c>
      <c r="L13" s="22" t="s">
        <v>56</v>
      </c>
    </row>
    <row r="14" spans="1:12" ht="84" x14ac:dyDescent="0.2">
      <c r="A14" s="9" t="s">
        <v>57</v>
      </c>
      <c r="B14" s="9">
        <v>2</v>
      </c>
      <c r="C14" s="19" t="str">
        <f>IF('Tổng quan'!$B$4="","",'Tổng quan'!$B$4+(B14-1)*7)</f>
        <v/>
      </c>
      <c r="D14" s="19" t="str">
        <f>IF('Tổng quan'!$B$4="","",C14+6)</f>
        <v/>
      </c>
      <c r="E14" s="9" t="s">
        <v>15</v>
      </c>
      <c r="F14" s="10" t="s">
        <v>58</v>
      </c>
      <c r="G14" s="9" t="s">
        <v>22</v>
      </c>
      <c r="H14" s="9" t="s">
        <v>17</v>
      </c>
      <c r="I14" s="10" t="s">
        <v>59</v>
      </c>
      <c r="J14" s="20" t="s">
        <v>30</v>
      </c>
      <c r="K14" s="21">
        <v>1</v>
      </c>
      <c r="L14" s="22" t="s">
        <v>60</v>
      </c>
    </row>
    <row r="15" spans="1:12" ht="28" customHeight="1" x14ac:dyDescent="0.2">
      <c r="A15" s="11" t="s">
        <v>61</v>
      </c>
      <c r="B15" s="11">
        <v>3</v>
      </c>
      <c r="C15" s="23" t="str">
        <f>IF('Tổng quan'!$B$4="","",'Tổng quan'!$B$4+(B15-1)*7)</f>
        <v/>
      </c>
      <c r="D15" s="23" t="str">
        <f>IF('Tổng quan'!$B$4="","",C15+6)</f>
        <v/>
      </c>
      <c r="E15" s="11" t="s">
        <v>62</v>
      </c>
      <c r="F15" s="12" t="s">
        <v>63</v>
      </c>
      <c r="G15" s="11" t="s">
        <v>34</v>
      </c>
      <c r="H15" s="11" t="s">
        <v>28</v>
      </c>
      <c r="I15" s="12" t="s">
        <v>64</v>
      </c>
      <c r="J15" s="20" t="s">
        <v>30</v>
      </c>
      <c r="K15" s="21">
        <v>1</v>
      </c>
      <c r="L15" s="22" t="s">
        <v>65</v>
      </c>
    </row>
    <row r="16" spans="1:12" ht="42" customHeight="1" x14ac:dyDescent="0.2">
      <c r="A16" s="11" t="s">
        <v>66</v>
      </c>
      <c r="B16" s="11">
        <v>3</v>
      </c>
      <c r="C16" s="23" t="str">
        <f>IF('Tổng quan'!$B$4="","",'Tổng quan'!$B$4+(B16-1)*7)</f>
        <v/>
      </c>
      <c r="D16" s="23" t="str">
        <f>IF('Tổng quan'!$B$4="","",C16+6)</f>
        <v/>
      </c>
      <c r="E16" s="11" t="s">
        <v>62</v>
      </c>
      <c r="F16" s="12" t="s">
        <v>67</v>
      </c>
      <c r="G16" s="11" t="s">
        <v>22</v>
      </c>
      <c r="H16" s="11" t="s">
        <v>34</v>
      </c>
      <c r="I16" s="12" t="s">
        <v>68</v>
      </c>
      <c r="J16" s="20" t="s">
        <v>30</v>
      </c>
      <c r="K16" s="21">
        <v>1</v>
      </c>
      <c r="L16" s="22" t="s">
        <v>69</v>
      </c>
    </row>
    <row r="17" spans="1:12" ht="28" customHeight="1" x14ac:dyDescent="0.2">
      <c r="A17" s="11" t="s">
        <v>70</v>
      </c>
      <c r="B17" s="11">
        <v>3</v>
      </c>
      <c r="C17" s="23" t="str">
        <f>IF('Tổng quan'!$B$4="","",'Tổng quan'!$B$4+(B17-1)*7)</f>
        <v/>
      </c>
      <c r="D17" s="23" t="str">
        <f>IF('Tổng quan'!$B$4="","",C17+6)</f>
        <v/>
      </c>
      <c r="E17" s="11" t="s">
        <v>62</v>
      </c>
      <c r="F17" s="12" t="s">
        <v>71</v>
      </c>
      <c r="G17" s="11" t="s">
        <v>28</v>
      </c>
      <c r="H17" s="11" t="s">
        <v>22</v>
      </c>
      <c r="I17" s="12" t="s">
        <v>72</v>
      </c>
      <c r="J17" s="20" t="s">
        <v>30</v>
      </c>
      <c r="K17" s="21">
        <v>1</v>
      </c>
      <c r="L17" s="22" t="s">
        <v>73</v>
      </c>
    </row>
    <row r="18" spans="1:12" ht="28" customHeight="1" x14ac:dyDescent="0.2">
      <c r="A18" s="11" t="s">
        <v>74</v>
      </c>
      <c r="B18" s="11">
        <v>4</v>
      </c>
      <c r="C18" s="23" t="str">
        <f>IF('Tổng quan'!$B$4="","",'Tổng quan'!$B$4+(B18-1)*7)</f>
        <v/>
      </c>
      <c r="D18" s="23" t="str">
        <f>IF('Tổng quan'!$B$4="","",C18+6)</f>
        <v/>
      </c>
      <c r="E18" s="11" t="s">
        <v>62</v>
      </c>
      <c r="F18" s="12" t="s">
        <v>75</v>
      </c>
      <c r="G18" s="11" t="s">
        <v>34</v>
      </c>
      <c r="H18" s="11" t="s">
        <v>17</v>
      </c>
      <c r="I18" s="12" t="s">
        <v>76</v>
      </c>
      <c r="J18" s="20" t="s">
        <v>30</v>
      </c>
      <c r="K18" s="21">
        <v>1</v>
      </c>
      <c r="L18" s="22" t="s">
        <v>77</v>
      </c>
    </row>
    <row r="19" spans="1:12" ht="28" customHeight="1" x14ac:dyDescent="0.2">
      <c r="A19" s="11" t="s">
        <v>78</v>
      </c>
      <c r="B19" s="11">
        <v>4</v>
      </c>
      <c r="C19" s="23" t="str">
        <f>IF('Tổng quan'!$B$4="","",'Tổng quan'!$B$4+(B19-1)*7)</f>
        <v/>
      </c>
      <c r="D19" s="23" t="str">
        <f>IF('Tổng quan'!$B$4="","",C19+6)</f>
        <v/>
      </c>
      <c r="E19" s="11" t="s">
        <v>62</v>
      </c>
      <c r="F19" s="12" t="s">
        <v>79</v>
      </c>
      <c r="G19" s="11" t="s">
        <v>28</v>
      </c>
      <c r="H19" s="11" t="s">
        <v>34</v>
      </c>
      <c r="I19" s="12" t="s">
        <v>80</v>
      </c>
      <c r="J19" s="20" t="s">
        <v>30</v>
      </c>
      <c r="K19" s="21">
        <v>1</v>
      </c>
      <c r="L19" s="22" t="s">
        <v>81</v>
      </c>
    </row>
    <row r="20" spans="1:12" ht="28" customHeight="1" x14ac:dyDescent="0.2">
      <c r="A20" s="11" t="s">
        <v>82</v>
      </c>
      <c r="B20" s="11">
        <v>4</v>
      </c>
      <c r="C20" s="23" t="str">
        <f>IF('Tổng quan'!$B$4="","",'Tổng quan'!$B$4+(B20-1)*7)</f>
        <v/>
      </c>
      <c r="D20" s="23" t="str">
        <f>IF('Tổng quan'!$B$4="","",C20+6)</f>
        <v/>
      </c>
      <c r="E20" s="11" t="s">
        <v>62</v>
      </c>
      <c r="F20" s="12" t="s">
        <v>83</v>
      </c>
      <c r="G20" s="11" t="s">
        <v>34</v>
      </c>
      <c r="H20" s="11" t="s">
        <v>22</v>
      </c>
      <c r="I20" s="12" t="s">
        <v>84</v>
      </c>
      <c r="J20" s="20" t="s">
        <v>30</v>
      </c>
      <c r="K20" s="21">
        <v>1</v>
      </c>
      <c r="L20" s="22" t="s">
        <v>85</v>
      </c>
    </row>
    <row r="21" spans="1:12" ht="70" x14ac:dyDescent="0.2">
      <c r="A21" s="11" t="s">
        <v>86</v>
      </c>
      <c r="B21" s="11">
        <v>4</v>
      </c>
      <c r="C21" s="23" t="str">
        <f>IF('Tổng quan'!$B$4="","",'Tổng quan'!$B$4+(B21-1)*7)</f>
        <v/>
      </c>
      <c r="D21" s="23" t="str">
        <f>IF('Tổng quan'!$B$4="","",C21+6)</f>
        <v/>
      </c>
      <c r="E21" s="11" t="s">
        <v>62</v>
      </c>
      <c r="F21" s="12" t="s">
        <v>87</v>
      </c>
      <c r="G21" s="11" t="s">
        <v>22</v>
      </c>
      <c r="H21" s="11" t="s">
        <v>17</v>
      </c>
      <c r="I21" s="12" t="s">
        <v>88</v>
      </c>
      <c r="J21" s="20" t="s">
        <v>30</v>
      </c>
      <c r="K21" s="21">
        <v>1</v>
      </c>
      <c r="L21" s="22" t="s">
        <v>406</v>
      </c>
    </row>
    <row r="22" spans="1:12" ht="28" customHeight="1" x14ac:dyDescent="0.2">
      <c r="A22" s="13" t="s">
        <v>89</v>
      </c>
      <c r="B22" s="13">
        <v>5</v>
      </c>
      <c r="C22" s="24" t="str">
        <f>IF('Tổng quan'!$B$4="","",'Tổng quan'!$B$4+(B22-1)*7)</f>
        <v/>
      </c>
      <c r="D22" s="24" t="str">
        <f>IF('Tổng quan'!$B$4="","",C22+6)</f>
        <v/>
      </c>
      <c r="E22" s="13" t="s">
        <v>90</v>
      </c>
      <c r="F22" s="14" t="s">
        <v>91</v>
      </c>
      <c r="G22" s="13" t="s">
        <v>34</v>
      </c>
      <c r="H22" s="13" t="s">
        <v>17</v>
      </c>
      <c r="I22" s="14" t="s">
        <v>92</v>
      </c>
      <c r="J22" s="20" t="s">
        <v>19</v>
      </c>
      <c r="K22" s="21">
        <v>0</v>
      </c>
      <c r="L22" s="22"/>
    </row>
    <row r="23" spans="1:12" ht="28" customHeight="1" x14ac:dyDescent="0.2">
      <c r="A23" s="13" t="s">
        <v>93</v>
      </c>
      <c r="B23" s="13">
        <v>5</v>
      </c>
      <c r="C23" s="24" t="str">
        <f>IF('Tổng quan'!$B$4="","",'Tổng quan'!$B$4+(B23-1)*7)</f>
        <v/>
      </c>
      <c r="D23" s="24" t="str">
        <f>IF('Tổng quan'!$B$4="","",C23+6)</f>
        <v/>
      </c>
      <c r="E23" s="13" t="s">
        <v>90</v>
      </c>
      <c r="F23" s="14" t="s">
        <v>94</v>
      </c>
      <c r="G23" s="13" t="s">
        <v>34</v>
      </c>
      <c r="H23" s="13" t="s">
        <v>28</v>
      </c>
      <c r="I23" s="14" t="s">
        <v>95</v>
      </c>
      <c r="J23" s="20" t="s">
        <v>19</v>
      </c>
      <c r="K23" s="21">
        <v>0</v>
      </c>
      <c r="L23" s="22"/>
    </row>
    <row r="24" spans="1:12" ht="126" x14ac:dyDescent="0.2">
      <c r="A24" s="13" t="s">
        <v>96</v>
      </c>
      <c r="B24" s="13">
        <v>5</v>
      </c>
      <c r="C24" s="24" t="str">
        <f>IF('Tổng quan'!$B$4="","",'Tổng quan'!$B$4+(B24-1)*7)</f>
        <v/>
      </c>
      <c r="D24" s="24" t="str">
        <f>IF('Tổng quan'!$B$4="","",C24+6)</f>
        <v/>
      </c>
      <c r="E24" s="13" t="s">
        <v>90</v>
      </c>
      <c r="F24" s="14" t="s">
        <v>97</v>
      </c>
      <c r="G24" s="13" t="s">
        <v>22</v>
      </c>
      <c r="H24" s="13" t="s">
        <v>34</v>
      </c>
      <c r="I24" s="14" t="s">
        <v>98</v>
      </c>
      <c r="J24" s="20" t="s">
        <v>30</v>
      </c>
      <c r="K24" s="21">
        <v>1</v>
      </c>
      <c r="L24" s="22" t="s">
        <v>398</v>
      </c>
    </row>
    <row r="25" spans="1:12" x14ac:dyDescent="0.2">
      <c r="A25" s="13" t="s">
        <v>99</v>
      </c>
      <c r="B25" s="13">
        <v>5</v>
      </c>
      <c r="C25" s="24" t="str">
        <f>IF('Tổng quan'!$B$4="","",'Tổng quan'!$B$4+(B25-1)*7)</f>
        <v/>
      </c>
      <c r="D25" s="24" t="str">
        <f>IF('Tổng quan'!$B$4="","",C25+6)</f>
        <v/>
      </c>
      <c r="E25" s="13" t="s">
        <v>90</v>
      </c>
      <c r="F25" s="14" t="s">
        <v>100</v>
      </c>
      <c r="G25" s="13" t="s">
        <v>28</v>
      </c>
      <c r="H25" s="13" t="s">
        <v>22</v>
      </c>
      <c r="I25" s="14" t="s">
        <v>101</v>
      </c>
      <c r="J25" s="20" t="s">
        <v>19</v>
      </c>
      <c r="K25" s="21">
        <v>0</v>
      </c>
      <c r="L25" s="22"/>
    </row>
    <row r="26" spans="1:12" ht="28" customHeight="1" x14ac:dyDescent="0.2">
      <c r="A26" s="13" t="s">
        <v>102</v>
      </c>
      <c r="B26" s="13">
        <v>6</v>
      </c>
      <c r="C26" s="24" t="str">
        <f>IF('Tổng quan'!$B$4="","",'Tổng quan'!$B$4+(B26-1)*7)</f>
        <v/>
      </c>
      <c r="D26" s="24" t="str">
        <f>IF('Tổng quan'!$B$4="","",C26+6)</f>
        <v/>
      </c>
      <c r="E26" s="13" t="s">
        <v>90</v>
      </c>
      <c r="F26" s="14" t="s">
        <v>103</v>
      </c>
      <c r="G26" s="13" t="s">
        <v>28</v>
      </c>
      <c r="H26" s="13" t="s">
        <v>22</v>
      </c>
      <c r="I26" s="14" t="s">
        <v>104</v>
      </c>
      <c r="J26" s="20" t="s">
        <v>19</v>
      </c>
      <c r="K26" s="21">
        <v>0</v>
      </c>
      <c r="L26" s="22"/>
    </row>
    <row r="27" spans="1:12" x14ac:dyDescent="0.2">
      <c r="A27" s="13" t="s">
        <v>105</v>
      </c>
      <c r="B27" s="13">
        <v>6</v>
      </c>
      <c r="C27" s="24" t="str">
        <f>IF('Tổng quan'!$B$4="","",'Tổng quan'!$B$4+(B27-1)*7)</f>
        <v/>
      </c>
      <c r="D27" s="24" t="str">
        <f>IF('Tổng quan'!$B$4="","",C27+6)</f>
        <v/>
      </c>
      <c r="E27" s="13" t="s">
        <v>90</v>
      </c>
      <c r="F27" s="14" t="s">
        <v>106</v>
      </c>
      <c r="G27" s="13" t="s">
        <v>34</v>
      </c>
      <c r="H27" s="13" t="s">
        <v>28</v>
      </c>
      <c r="I27" s="14" t="s">
        <v>107</v>
      </c>
      <c r="J27" s="20" t="s">
        <v>19</v>
      </c>
      <c r="K27" s="21">
        <v>0</v>
      </c>
      <c r="L27" s="22"/>
    </row>
    <row r="28" spans="1:12" ht="98" x14ac:dyDescent="0.2">
      <c r="A28" s="13" t="s">
        <v>108</v>
      </c>
      <c r="B28" s="13">
        <v>6</v>
      </c>
      <c r="C28" s="24" t="str">
        <f>IF('Tổng quan'!$B$4="","",'Tổng quan'!$B$4+(B28-1)*7)</f>
        <v/>
      </c>
      <c r="D28" s="24" t="str">
        <f>IF('Tổng quan'!$B$4="","",C28+6)</f>
        <v/>
      </c>
      <c r="E28" s="13" t="s">
        <v>90</v>
      </c>
      <c r="F28" s="14" t="s">
        <v>109</v>
      </c>
      <c r="G28" s="13" t="s">
        <v>22</v>
      </c>
      <c r="H28" s="13" t="s">
        <v>28</v>
      </c>
      <c r="I28" s="14" t="s">
        <v>110</v>
      </c>
      <c r="J28" s="20" t="s">
        <v>30</v>
      </c>
      <c r="K28" s="21">
        <v>1</v>
      </c>
      <c r="L28" s="22" t="s">
        <v>399</v>
      </c>
    </row>
    <row r="29" spans="1:12" x14ac:dyDescent="0.2">
      <c r="A29" s="13" t="s">
        <v>111</v>
      </c>
      <c r="B29" s="13">
        <v>6</v>
      </c>
      <c r="C29" s="24" t="str">
        <f>IF('Tổng quan'!$B$4="","",'Tổng quan'!$B$4+(B29-1)*7)</f>
        <v/>
      </c>
      <c r="D29" s="24" t="str">
        <f>IF('Tổng quan'!$B$4="","",C29+6)</f>
        <v/>
      </c>
      <c r="E29" s="13" t="s">
        <v>90</v>
      </c>
      <c r="F29" s="14" t="s">
        <v>112</v>
      </c>
      <c r="G29" s="13" t="s">
        <v>28</v>
      </c>
      <c r="H29" s="13" t="s">
        <v>34</v>
      </c>
      <c r="I29" s="14" t="s">
        <v>113</v>
      </c>
      <c r="J29" s="20" t="s">
        <v>19</v>
      </c>
      <c r="K29" s="21">
        <v>0</v>
      </c>
      <c r="L29" s="22"/>
    </row>
    <row r="30" spans="1:12" x14ac:dyDescent="0.2">
      <c r="A30" s="13" t="s">
        <v>114</v>
      </c>
      <c r="B30" s="13">
        <v>7</v>
      </c>
      <c r="C30" s="24" t="str">
        <f>IF('Tổng quan'!$B$4="","",'Tổng quan'!$B$4+(B30-1)*7)</f>
        <v/>
      </c>
      <c r="D30" s="24" t="str">
        <f>IF('Tổng quan'!$B$4="","",C30+6)</f>
        <v/>
      </c>
      <c r="E30" s="13" t="s">
        <v>90</v>
      </c>
      <c r="F30" s="14" t="s">
        <v>115</v>
      </c>
      <c r="G30" s="13" t="s">
        <v>34</v>
      </c>
      <c r="H30" s="13" t="s">
        <v>28</v>
      </c>
      <c r="I30" s="14" t="s">
        <v>116</v>
      </c>
      <c r="J30" s="20" t="s">
        <v>19</v>
      </c>
      <c r="K30" s="21">
        <v>0</v>
      </c>
      <c r="L30" s="22"/>
    </row>
    <row r="31" spans="1:12" ht="98" x14ac:dyDescent="0.2">
      <c r="A31" s="13" t="s">
        <v>117</v>
      </c>
      <c r="B31" s="13">
        <v>7</v>
      </c>
      <c r="C31" s="24" t="str">
        <f>IF('Tổng quan'!$B$4="","",'Tổng quan'!$B$4+(B31-1)*7)</f>
        <v/>
      </c>
      <c r="D31" s="24" t="str">
        <f>IF('Tổng quan'!$B$4="","",C31+6)</f>
        <v/>
      </c>
      <c r="E31" s="13" t="s">
        <v>90</v>
      </c>
      <c r="F31" s="14" t="s">
        <v>118</v>
      </c>
      <c r="G31" s="13" t="s">
        <v>22</v>
      </c>
      <c r="H31" s="13" t="s">
        <v>28</v>
      </c>
      <c r="I31" s="14" t="s">
        <v>119</v>
      </c>
      <c r="J31" s="20" t="s">
        <v>30</v>
      </c>
      <c r="K31" s="21">
        <v>1</v>
      </c>
      <c r="L31" s="22" t="s">
        <v>400</v>
      </c>
    </row>
    <row r="32" spans="1:12" x14ac:dyDescent="0.2">
      <c r="A32" s="13" t="s">
        <v>120</v>
      </c>
      <c r="B32" s="13">
        <v>7</v>
      </c>
      <c r="C32" s="24" t="str">
        <f>IF('Tổng quan'!$B$4="","",'Tổng quan'!$B$4+(B32-1)*7)</f>
        <v/>
      </c>
      <c r="D32" s="24" t="str">
        <f>IF('Tổng quan'!$B$4="","",C32+6)</f>
        <v/>
      </c>
      <c r="E32" s="13" t="s">
        <v>90</v>
      </c>
      <c r="F32" s="14" t="s">
        <v>121</v>
      </c>
      <c r="G32" s="13" t="s">
        <v>28</v>
      </c>
      <c r="H32" s="13" t="s">
        <v>34</v>
      </c>
      <c r="I32" s="14" t="s">
        <v>122</v>
      </c>
      <c r="J32" s="20" t="s">
        <v>19</v>
      </c>
      <c r="K32" s="21">
        <v>0</v>
      </c>
      <c r="L32" s="22"/>
    </row>
    <row r="33" spans="1:12" ht="28" customHeight="1" x14ac:dyDescent="0.2">
      <c r="A33" s="13" t="s">
        <v>123</v>
      </c>
      <c r="B33" s="13">
        <v>7</v>
      </c>
      <c r="C33" s="24" t="str">
        <f>IF('Tổng quan'!$B$4="","",'Tổng quan'!$B$4+(B33-1)*7)</f>
        <v/>
      </c>
      <c r="D33" s="24" t="str">
        <f>IF('Tổng quan'!$B$4="","",C33+6)</f>
        <v/>
      </c>
      <c r="E33" s="13" t="s">
        <v>90</v>
      </c>
      <c r="F33" s="14" t="s">
        <v>124</v>
      </c>
      <c r="G33" s="13" t="s">
        <v>34</v>
      </c>
      <c r="H33" s="13" t="s">
        <v>17</v>
      </c>
      <c r="I33" s="14" t="s">
        <v>125</v>
      </c>
      <c r="J33" s="20" t="s">
        <v>19</v>
      </c>
      <c r="K33" s="21">
        <v>0</v>
      </c>
      <c r="L33" s="22"/>
    </row>
    <row r="34" spans="1:12" ht="28" customHeight="1" x14ac:dyDescent="0.2">
      <c r="A34" s="13" t="s">
        <v>126</v>
      </c>
      <c r="B34" s="13">
        <v>8</v>
      </c>
      <c r="C34" s="24" t="str">
        <f>IF('Tổng quan'!$B$4="","",'Tổng quan'!$B$4+(B34-1)*7)</f>
        <v/>
      </c>
      <c r="D34" s="24" t="str">
        <f>IF('Tổng quan'!$B$4="","",C34+6)</f>
        <v/>
      </c>
      <c r="E34" s="13" t="s">
        <v>90</v>
      </c>
      <c r="F34" s="14" t="s">
        <v>127</v>
      </c>
      <c r="G34" s="13" t="s">
        <v>28</v>
      </c>
      <c r="H34" s="13" t="s">
        <v>17</v>
      </c>
      <c r="I34" s="14" t="s">
        <v>128</v>
      </c>
      <c r="J34" s="20" t="s">
        <v>24</v>
      </c>
      <c r="K34" s="21">
        <v>0.3</v>
      </c>
      <c r="L34" s="22" t="s">
        <v>404</v>
      </c>
    </row>
    <row r="35" spans="1:12" ht="154" x14ac:dyDescent="0.2">
      <c r="A35" s="13" t="s">
        <v>129</v>
      </c>
      <c r="B35" s="13">
        <v>8</v>
      </c>
      <c r="C35" s="24" t="str">
        <f>IF('Tổng quan'!$B$4="","",'Tổng quan'!$B$4+(B35-1)*7)</f>
        <v/>
      </c>
      <c r="D35" s="24" t="str">
        <f>IF('Tổng quan'!$B$4="","",C35+6)</f>
        <v/>
      </c>
      <c r="E35" s="13" t="s">
        <v>90</v>
      </c>
      <c r="F35" s="14" t="s">
        <v>130</v>
      </c>
      <c r="G35" s="13" t="s">
        <v>22</v>
      </c>
      <c r="H35" s="13" t="s">
        <v>17</v>
      </c>
      <c r="I35" s="14" t="s">
        <v>131</v>
      </c>
      <c r="J35" s="20" t="s">
        <v>24</v>
      </c>
      <c r="K35" s="21">
        <v>0.3</v>
      </c>
      <c r="L35" s="22" t="s">
        <v>407</v>
      </c>
    </row>
    <row r="36" spans="1:12" x14ac:dyDescent="0.2">
      <c r="A36" s="15" t="s">
        <v>132</v>
      </c>
      <c r="B36" s="15">
        <v>9</v>
      </c>
      <c r="C36" s="25" t="str">
        <f>IF('Tổng quan'!$B$4="","",'Tổng quan'!$B$4+(B36-1)*7)</f>
        <v/>
      </c>
      <c r="D36" s="25" t="str">
        <f>IF('Tổng quan'!$B$4="","",C36+6)</f>
        <v/>
      </c>
      <c r="E36" s="15" t="s">
        <v>133</v>
      </c>
      <c r="F36" s="16" t="s">
        <v>134</v>
      </c>
      <c r="G36" s="15" t="s">
        <v>34</v>
      </c>
      <c r="H36" s="15" t="s">
        <v>28</v>
      </c>
      <c r="I36" s="16" t="s">
        <v>135</v>
      </c>
      <c r="J36" s="20" t="s">
        <v>19</v>
      </c>
      <c r="K36" s="21">
        <v>0</v>
      </c>
      <c r="L36" s="22"/>
    </row>
    <row r="37" spans="1:12" ht="140" x14ac:dyDescent="0.2">
      <c r="A37" s="15" t="s">
        <v>136</v>
      </c>
      <c r="B37" s="15">
        <v>9</v>
      </c>
      <c r="C37" s="25" t="str">
        <f>IF('Tổng quan'!$B$4="","",'Tổng quan'!$B$4+(B37-1)*7)</f>
        <v/>
      </c>
      <c r="D37" s="25" t="str">
        <f>IF('Tổng quan'!$B$4="","",C37+6)</f>
        <v/>
      </c>
      <c r="E37" s="15" t="s">
        <v>133</v>
      </c>
      <c r="F37" s="16" t="s">
        <v>137</v>
      </c>
      <c r="G37" s="15" t="s">
        <v>22</v>
      </c>
      <c r="H37" s="15" t="s">
        <v>34</v>
      </c>
      <c r="I37" s="16" t="s">
        <v>138</v>
      </c>
      <c r="J37" s="20" t="s">
        <v>30</v>
      </c>
      <c r="K37" s="21">
        <v>1</v>
      </c>
      <c r="L37" s="22" t="s">
        <v>402</v>
      </c>
    </row>
    <row r="38" spans="1:12" x14ac:dyDescent="0.2">
      <c r="A38" s="15" t="s">
        <v>139</v>
      </c>
      <c r="B38" s="15">
        <v>9</v>
      </c>
      <c r="C38" s="25" t="str">
        <f>IF('Tổng quan'!$B$4="","",'Tổng quan'!$B$4+(B38-1)*7)</f>
        <v/>
      </c>
      <c r="D38" s="25" t="str">
        <f>IF('Tổng quan'!$B$4="","",C38+6)</f>
        <v/>
      </c>
      <c r="E38" s="15" t="s">
        <v>133</v>
      </c>
      <c r="F38" s="16" t="s">
        <v>140</v>
      </c>
      <c r="G38" s="15" t="s">
        <v>28</v>
      </c>
      <c r="H38" s="15" t="s">
        <v>22</v>
      </c>
      <c r="I38" s="16" t="s">
        <v>141</v>
      </c>
      <c r="J38" s="20" t="s">
        <v>19</v>
      </c>
      <c r="K38" s="21">
        <v>0</v>
      </c>
      <c r="L38" s="22"/>
    </row>
    <row r="39" spans="1:12" x14ac:dyDescent="0.2">
      <c r="A39" s="15" t="s">
        <v>142</v>
      </c>
      <c r="B39" s="15">
        <v>9</v>
      </c>
      <c r="C39" s="25" t="str">
        <f>IF('Tổng quan'!$B$4="","",'Tổng quan'!$B$4+(B39-1)*7)</f>
        <v/>
      </c>
      <c r="D39" s="25" t="str">
        <f>IF('Tổng quan'!$B$4="","",C39+6)</f>
        <v/>
      </c>
      <c r="E39" s="15" t="s">
        <v>133</v>
      </c>
      <c r="F39" s="16" t="s">
        <v>143</v>
      </c>
      <c r="G39" s="15" t="s">
        <v>34</v>
      </c>
      <c r="H39" s="15" t="s">
        <v>17</v>
      </c>
      <c r="I39" s="16" t="s">
        <v>144</v>
      </c>
      <c r="J39" s="20" t="s">
        <v>19</v>
      </c>
      <c r="K39" s="21">
        <v>0</v>
      </c>
      <c r="L39" s="22"/>
    </row>
    <row r="40" spans="1:12" ht="28" customHeight="1" x14ac:dyDescent="0.2">
      <c r="A40" s="15" t="s">
        <v>145</v>
      </c>
      <c r="B40" s="15">
        <v>9</v>
      </c>
      <c r="C40" s="25" t="str">
        <f>IF('Tổng quan'!$B$4="","",'Tổng quan'!$B$4+(B40-1)*7)</f>
        <v/>
      </c>
      <c r="D40" s="25" t="str">
        <f>IF('Tổng quan'!$B$4="","",C40+6)</f>
        <v/>
      </c>
      <c r="E40" s="15" t="s">
        <v>133</v>
      </c>
      <c r="F40" s="16" t="s">
        <v>146</v>
      </c>
      <c r="G40" s="15" t="s">
        <v>34</v>
      </c>
      <c r="H40" s="15" t="s">
        <v>28</v>
      </c>
      <c r="I40" s="16" t="s">
        <v>147</v>
      </c>
      <c r="J40" s="20" t="s">
        <v>19</v>
      </c>
      <c r="K40" s="21">
        <v>0</v>
      </c>
      <c r="L40" s="22"/>
    </row>
    <row r="41" spans="1:12" ht="28" customHeight="1" x14ac:dyDescent="0.2">
      <c r="A41" s="15" t="s">
        <v>148</v>
      </c>
      <c r="B41" s="15">
        <v>9</v>
      </c>
      <c r="C41" s="25" t="str">
        <f>IF('Tổng quan'!$B$4="","",'Tổng quan'!$B$4+(B41-1)*7)</f>
        <v/>
      </c>
      <c r="D41" s="25" t="str">
        <f>IF('Tổng quan'!$B$4="","",C41+6)</f>
        <v/>
      </c>
      <c r="E41" s="15" t="s">
        <v>133</v>
      </c>
      <c r="F41" s="16" t="s">
        <v>149</v>
      </c>
      <c r="G41" s="15" t="s">
        <v>22</v>
      </c>
      <c r="H41" s="15" t="s">
        <v>28</v>
      </c>
      <c r="I41" s="16" t="s">
        <v>150</v>
      </c>
      <c r="J41" s="20" t="s">
        <v>30</v>
      </c>
      <c r="K41" s="21">
        <v>1</v>
      </c>
      <c r="L41" s="22" t="s">
        <v>403</v>
      </c>
    </row>
    <row r="42" spans="1:12" ht="28" customHeight="1" x14ac:dyDescent="0.2">
      <c r="A42" s="15" t="s">
        <v>151</v>
      </c>
      <c r="B42" s="15">
        <v>9</v>
      </c>
      <c r="C42" s="25" t="str">
        <f>IF('Tổng quan'!$B$4="","",'Tổng quan'!$B$4+(B42-1)*7)</f>
        <v/>
      </c>
      <c r="D42" s="25" t="str">
        <f>IF('Tổng quan'!$B$4="","",C42+6)</f>
        <v/>
      </c>
      <c r="E42" s="15" t="s">
        <v>133</v>
      </c>
      <c r="F42" s="16" t="s">
        <v>152</v>
      </c>
      <c r="G42" s="15" t="s">
        <v>28</v>
      </c>
      <c r="H42" s="15" t="s">
        <v>34</v>
      </c>
      <c r="I42" s="16" t="s">
        <v>153</v>
      </c>
      <c r="J42" s="20" t="s">
        <v>19</v>
      </c>
      <c r="K42" s="21">
        <v>0</v>
      </c>
      <c r="L42" s="22"/>
    </row>
    <row r="43" spans="1:12" ht="28" customHeight="1" x14ac:dyDescent="0.2">
      <c r="A43" s="15" t="s">
        <v>154</v>
      </c>
      <c r="B43" s="15">
        <v>9</v>
      </c>
      <c r="C43" s="25" t="str">
        <f>IF('Tổng quan'!$B$4="","",'Tổng quan'!$B$4+(B43-1)*7)</f>
        <v/>
      </c>
      <c r="D43" s="25" t="str">
        <f>IF('Tổng quan'!$B$4="","",C43+6)</f>
        <v/>
      </c>
      <c r="E43" s="15" t="s">
        <v>133</v>
      </c>
      <c r="F43" s="16" t="s">
        <v>155</v>
      </c>
      <c r="G43" s="15" t="s">
        <v>28</v>
      </c>
      <c r="H43" s="15" t="s">
        <v>17</v>
      </c>
      <c r="I43" s="16" t="s">
        <v>156</v>
      </c>
      <c r="J43" s="20" t="s">
        <v>19</v>
      </c>
      <c r="K43" s="21">
        <v>0</v>
      </c>
      <c r="L43" s="22"/>
    </row>
    <row r="44" spans="1:12" ht="28" customHeight="1" x14ac:dyDescent="0.2">
      <c r="A44" s="15" t="s">
        <v>157</v>
      </c>
      <c r="B44" s="15">
        <v>10</v>
      </c>
      <c r="C44" s="25" t="str">
        <f>IF('Tổng quan'!$B$4="","",'Tổng quan'!$B$4+(B44-1)*7)</f>
        <v/>
      </c>
      <c r="D44" s="25" t="str">
        <f>IF('Tổng quan'!$B$4="","",C44+6)</f>
        <v/>
      </c>
      <c r="E44" s="15" t="s">
        <v>133</v>
      </c>
      <c r="F44" s="16" t="s">
        <v>158</v>
      </c>
      <c r="G44" s="15" t="s">
        <v>34</v>
      </c>
      <c r="H44" s="15" t="s">
        <v>22</v>
      </c>
      <c r="I44" s="16" t="s">
        <v>159</v>
      </c>
      <c r="J44" s="20" t="s">
        <v>19</v>
      </c>
      <c r="K44" s="21">
        <v>0</v>
      </c>
      <c r="L44" s="22"/>
    </row>
    <row r="45" spans="1:12" ht="182" x14ac:dyDescent="0.2">
      <c r="A45" s="15" t="s">
        <v>160</v>
      </c>
      <c r="B45" s="15">
        <v>10</v>
      </c>
      <c r="C45" s="25" t="str">
        <f>IF('Tổng quan'!$B$4="","",'Tổng quan'!$B$4+(B45-1)*7)</f>
        <v/>
      </c>
      <c r="D45" s="25" t="str">
        <f>IF('Tổng quan'!$B$4="","",C45+6)</f>
        <v/>
      </c>
      <c r="E45" s="15" t="s">
        <v>133</v>
      </c>
      <c r="F45" s="16" t="s">
        <v>161</v>
      </c>
      <c r="G45" s="15" t="s">
        <v>22</v>
      </c>
      <c r="H45" s="15" t="s">
        <v>28</v>
      </c>
      <c r="I45" s="16" t="s">
        <v>162</v>
      </c>
      <c r="J45" s="20" t="s">
        <v>30</v>
      </c>
      <c r="K45" s="21">
        <v>1</v>
      </c>
      <c r="L45" s="22" t="s">
        <v>405</v>
      </c>
    </row>
    <row r="46" spans="1:12" x14ac:dyDescent="0.2">
      <c r="A46" s="15" t="s">
        <v>163</v>
      </c>
      <c r="B46" s="15">
        <v>10</v>
      </c>
      <c r="C46" s="25" t="str">
        <f>IF('Tổng quan'!$B$4="","",'Tổng quan'!$B$4+(B46-1)*7)</f>
        <v/>
      </c>
      <c r="D46" s="25" t="str">
        <f>IF('Tổng quan'!$B$4="","",C46+6)</f>
        <v/>
      </c>
      <c r="E46" s="15" t="s">
        <v>133</v>
      </c>
      <c r="F46" s="16" t="s">
        <v>164</v>
      </c>
      <c r="G46" s="15" t="s">
        <v>28</v>
      </c>
      <c r="H46" s="15" t="s">
        <v>34</v>
      </c>
      <c r="I46" s="16" t="s">
        <v>165</v>
      </c>
      <c r="J46" s="20" t="s">
        <v>19</v>
      </c>
      <c r="K46" s="21">
        <v>0</v>
      </c>
      <c r="L46" s="22"/>
    </row>
    <row r="47" spans="1:12" ht="28" customHeight="1" x14ac:dyDescent="0.2">
      <c r="A47" s="15" t="s">
        <v>166</v>
      </c>
      <c r="B47" s="15">
        <v>10</v>
      </c>
      <c r="C47" s="25" t="str">
        <f>IF('Tổng quan'!$B$4="","",'Tổng quan'!$B$4+(B47-1)*7)</f>
        <v/>
      </c>
      <c r="D47" s="25" t="str">
        <f>IF('Tổng quan'!$B$4="","",C47+6)</f>
        <v/>
      </c>
      <c r="E47" s="15" t="s">
        <v>133</v>
      </c>
      <c r="F47" s="16" t="s">
        <v>167</v>
      </c>
      <c r="G47" s="15" t="s">
        <v>28</v>
      </c>
      <c r="H47" s="15" t="s">
        <v>17</v>
      </c>
      <c r="I47" s="16" t="s">
        <v>168</v>
      </c>
      <c r="J47" s="20" t="s">
        <v>19</v>
      </c>
      <c r="K47" s="21">
        <v>0</v>
      </c>
      <c r="L47" s="22"/>
    </row>
    <row r="48" spans="1:12" x14ac:dyDescent="0.2">
      <c r="A48" s="15" t="s">
        <v>169</v>
      </c>
      <c r="B48" s="15">
        <v>10</v>
      </c>
      <c r="C48" s="25" t="str">
        <f>IF('Tổng quan'!$B$4="","",'Tổng quan'!$B$4+(B48-1)*7)</f>
        <v/>
      </c>
      <c r="D48" s="25" t="str">
        <f>IF('Tổng quan'!$B$4="","",C48+6)</f>
        <v/>
      </c>
      <c r="E48" s="15" t="s">
        <v>133</v>
      </c>
      <c r="F48" s="16" t="s">
        <v>170</v>
      </c>
      <c r="G48" s="15" t="s">
        <v>28</v>
      </c>
      <c r="H48" s="15" t="s">
        <v>34</v>
      </c>
      <c r="I48" s="16" t="s">
        <v>171</v>
      </c>
      <c r="J48" s="20" t="s">
        <v>19</v>
      </c>
      <c r="K48" s="21">
        <v>0</v>
      </c>
      <c r="L48" s="22"/>
    </row>
    <row r="49" spans="1:12" ht="28" customHeight="1" x14ac:dyDescent="0.2">
      <c r="A49" s="15" t="s">
        <v>172</v>
      </c>
      <c r="B49" s="15">
        <v>10</v>
      </c>
      <c r="C49" s="25" t="str">
        <f>IF('Tổng quan'!$B$4="","",'Tổng quan'!$B$4+(B49-1)*7)</f>
        <v/>
      </c>
      <c r="D49" s="25" t="str">
        <f>IF('Tổng quan'!$B$4="","",C49+6)</f>
        <v/>
      </c>
      <c r="E49" s="15" t="s">
        <v>133</v>
      </c>
      <c r="F49" s="16" t="s">
        <v>173</v>
      </c>
      <c r="G49" s="15" t="s">
        <v>28</v>
      </c>
      <c r="H49" s="15" t="s">
        <v>22</v>
      </c>
      <c r="I49" s="16" t="s">
        <v>174</v>
      </c>
      <c r="J49" s="20" t="s">
        <v>19</v>
      </c>
      <c r="K49" s="21">
        <v>0</v>
      </c>
      <c r="L49" s="22"/>
    </row>
    <row r="50" spans="1:12" x14ac:dyDescent="0.2">
      <c r="A50" s="15" t="s">
        <v>175</v>
      </c>
      <c r="B50" s="15">
        <v>10</v>
      </c>
      <c r="C50" s="25" t="str">
        <f>IF('Tổng quan'!$B$4="","",'Tổng quan'!$B$4+(B50-1)*7)</f>
        <v/>
      </c>
      <c r="D50" s="25" t="str">
        <f>IF('Tổng quan'!$B$4="","",C50+6)</f>
        <v/>
      </c>
      <c r="E50" s="15" t="s">
        <v>133</v>
      </c>
      <c r="F50" s="16" t="s">
        <v>176</v>
      </c>
      <c r="G50" s="15" t="s">
        <v>22</v>
      </c>
      <c r="H50" s="15" t="s">
        <v>17</v>
      </c>
      <c r="I50" s="16" t="s">
        <v>177</v>
      </c>
      <c r="J50" s="20" t="s">
        <v>19</v>
      </c>
      <c r="K50" s="21">
        <v>0</v>
      </c>
      <c r="L50" s="22"/>
    </row>
    <row r="51" spans="1:12" ht="28" customHeight="1" x14ac:dyDescent="0.2">
      <c r="A51" s="17" t="s">
        <v>178</v>
      </c>
      <c r="B51" s="17">
        <v>11</v>
      </c>
      <c r="C51" s="26" t="str">
        <f>IF('Tổng quan'!$B$4="","",'Tổng quan'!$B$4+(B51-1)*7)</f>
        <v/>
      </c>
      <c r="D51" s="26" t="str">
        <f>IF('Tổng quan'!$B$4="","",C51+6)</f>
        <v/>
      </c>
      <c r="E51" s="17" t="s">
        <v>179</v>
      </c>
      <c r="F51" s="18" t="s">
        <v>180</v>
      </c>
      <c r="G51" s="17" t="s">
        <v>22</v>
      </c>
      <c r="H51" s="17" t="s">
        <v>34</v>
      </c>
      <c r="I51" s="18" t="s">
        <v>181</v>
      </c>
      <c r="J51" s="20" t="s">
        <v>19</v>
      </c>
      <c r="K51" s="21">
        <v>0</v>
      </c>
      <c r="L51" s="22"/>
    </row>
    <row r="52" spans="1:12" x14ac:dyDescent="0.2">
      <c r="A52" s="17" t="s">
        <v>182</v>
      </c>
      <c r="B52" s="17">
        <v>11</v>
      </c>
      <c r="C52" s="26" t="str">
        <f>IF('Tổng quan'!$B$4="","",'Tổng quan'!$B$4+(B52-1)*7)</f>
        <v/>
      </c>
      <c r="D52" s="26" t="str">
        <f>IF('Tổng quan'!$B$4="","",C52+6)</f>
        <v/>
      </c>
      <c r="E52" s="17" t="s">
        <v>179</v>
      </c>
      <c r="F52" s="18" t="s">
        <v>183</v>
      </c>
      <c r="G52" s="17" t="s">
        <v>34</v>
      </c>
      <c r="H52" s="17" t="s">
        <v>22</v>
      </c>
      <c r="I52" s="18" t="s">
        <v>184</v>
      </c>
      <c r="J52" s="20" t="s">
        <v>19</v>
      </c>
      <c r="K52" s="21">
        <v>0</v>
      </c>
      <c r="L52" s="22"/>
    </row>
    <row r="53" spans="1:12" ht="28" customHeight="1" x14ac:dyDescent="0.2">
      <c r="A53" s="17" t="s">
        <v>185</v>
      </c>
      <c r="B53" s="17">
        <v>11</v>
      </c>
      <c r="C53" s="26" t="str">
        <f>IF('Tổng quan'!$B$4="","",'Tổng quan'!$B$4+(B53-1)*7)</f>
        <v/>
      </c>
      <c r="D53" s="26" t="str">
        <f>IF('Tổng quan'!$B$4="","",C53+6)</f>
        <v/>
      </c>
      <c r="E53" s="17" t="s">
        <v>179</v>
      </c>
      <c r="F53" s="18" t="s">
        <v>186</v>
      </c>
      <c r="G53" s="17" t="s">
        <v>22</v>
      </c>
      <c r="H53" s="17" t="s">
        <v>28</v>
      </c>
      <c r="I53" s="18" t="s">
        <v>187</v>
      </c>
      <c r="J53" s="20" t="s">
        <v>19</v>
      </c>
      <c r="K53" s="21">
        <v>0</v>
      </c>
      <c r="L53" s="22"/>
    </row>
    <row r="54" spans="1:12" ht="28" customHeight="1" x14ac:dyDescent="0.2">
      <c r="A54" s="17" t="s">
        <v>188</v>
      </c>
      <c r="B54" s="17">
        <v>11</v>
      </c>
      <c r="C54" s="26" t="str">
        <f>IF('Tổng quan'!$B$4="","",'Tổng quan'!$B$4+(B54-1)*7)</f>
        <v/>
      </c>
      <c r="D54" s="26" t="str">
        <f>IF('Tổng quan'!$B$4="","",C54+6)</f>
        <v/>
      </c>
      <c r="E54" s="17" t="s">
        <v>179</v>
      </c>
      <c r="F54" s="18" t="s">
        <v>189</v>
      </c>
      <c r="G54" s="17" t="s">
        <v>28</v>
      </c>
      <c r="H54" s="17" t="s">
        <v>34</v>
      </c>
      <c r="I54" s="18" t="s">
        <v>190</v>
      </c>
      <c r="J54" s="20" t="s">
        <v>19</v>
      </c>
      <c r="K54" s="21">
        <v>0</v>
      </c>
      <c r="L54" s="22"/>
    </row>
    <row r="55" spans="1:12" x14ac:dyDescent="0.2">
      <c r="A55" s="17" t="s">
        <v>191</v>
      </c>
      <c r="B55" s="17">
        <v>11</v>
      </c>
      <c r="C55" s="26" t="str">
        <f>IF('Tổng quan'!$B$4="","",'Tổng quan'!$B$4+(B55-1)*7)</f>
        <v/>
      </c>
      <c r="D55" s="26" t="str">
        <f>IF('Tổng quan'!$B$4="","",C55+6)</f>
        <v/>
      </c>
      <c r="E55" s="17" t="s">
        <v>179</v>
      </c>
      <c r="F55" s="18" t="s">
        <v>192</v>
      </c>
      <c r="G55" s="17" t="s">
        <v>22</v>
      </c>
      <c r="H55" s="17" t="s">
        <v>17</v>
      </c>
      <c r="I55" s="18" t="s">
        <v>193</v>
      </c>
      <c r="J55" s="20" t="s">
        <v>19</v>
      </c>
      <c r="K55" s="21">
        <v>0</v>
      </c>
      <c r="L55" s="22"/>
    </row>
    <row r="56" spans="1:12" ht="28" customHeight="1" x14ac:dyDescent="0.2">
      <c r="A56" s="17" t="s">
        <v>194</v>
      </c>
      <c r="B56" s="17">
        <v>12</v>
      </c>
      <c r="C56" s="26" t="str">
        <f>IF('Tổng quan'!$B$4="","",'Tổng quan'!$B$4+(B56-1)*7)</f>
        <v/>
      </c>
      <c r="D56" s="26" t="str">
        <f>IF('Tổng quan'!$B$4="","",C56+6)</f>
        <v/>
      </c>
      <c r="E56" s="17" t="s">
        <v>179</v>
      </c>
      <c r="F56" s="18" t="s">
        <v>195</v>
      </c>
      <c r="G56" s="17" t="s">
        <v>22</v>
      </c>
      <c r="H56" s="17" t="s">
        <v>17</v>
      </c>
      <c r="I56" s="18" t="s">
        <v>196</v>
      </c>
      <c r="J56" s="20" t="s">
        <v>19</v>
      </c>
      <c r="K56" s="21">
        <v>0</v>
      </c>
      <c r="L56" s="22"/>
    </row>
    <row r="57" spans="1:12" ht="28" customHeight="1" x14ac:dyDescent="0.2">
      <c r="A57" s="17" t="s">
        <v>197</v>
      </c>
      <c r="B57" s="17">
        <v>12</v>
      </c>
      <c r="C57" s="26" t="str">
        <f>IF('Tổng quan'!$B$4="","",'Tổng quan'!$B$4+(B57-1)*7)</f>
        <v/>
      </c>
      <c r="D57" s="26" t="str">
        <f>IF('Tổng quan'!$B$4="","",C57+6)</f>
        <v/>
      </c>
      <c r="E57" s="17" t="s">
        <v>179</v>
      </c>
      <c r="F57" s="18" t="s">
        <v>198</v>
      </c>
      <c r="G57" s="17" t="s">
        <v>17</v>
      </c>
      <c r="H57" s="17" t="s">
        <v>17</v>
      </c>
      <c r="I57" s="18" t="s">
        <v>199</v>
      </c>
      <c r="J57" s="20" t="s">
        <v>19</v>
      </c>
      <c r="K57" s="21">
        <v>0</v>
      </c>
      <c r="L57" s="22"/>
    </row>
    <row r="58" spans="1:12" ht="28" customHeight="1" x14ac:dyDescent="0.2">
      <c r="A58" s="17" t="s">
        <v>200</v>
      </c>
      <c r="B58" s="17">
        <v>12</v>
      </c>
      <c r="C58" s="26" t="str">
        <f>IF('Tổng quan'!$B$4="","",'Tổng quan'!$B$4+(B58-1)*7)</f>
        <v/>
      </c>
      <c r="D58" s="26" t="str">
        <f>IF('Tổng quan'!$B$4="","",C58+6)</f>
        <v/>
      </c>
      <c r="E58" s="17" t="s">
        <v>179</v>
      </c>
      <c r="F58" s="18" t="s">
        <v>201</v>
      </c>
      <c r="G58" s="17" t="s">
        <v>34</v>
      </c>
      <c r="H58" s="17" t="s">
        <v>17</v>
      </c>
      <c r="I58" s="18" t="s">
        <v>202</v>
      </c>
      <c r="J58" s="20" t="s">
        <v>19</v>
      </c>
      <c r="K58" s="21">
        <v>0</v>
      </c>
      <c r="L58" s="22"/>
    </row>
    <row r="59" spans="1:12" x14ac:dyDescent="0.2">
      <c r="A59" s="17" t="s">
        <v>203</v>
      </c>
      <c r="B59" s="17">
        <v>12</v>
      </c>
      <c r="C59" s="26" t="str">
        <f>IF('Tổng quan'!$B$4="","",'Tổng quan'!$B$4+(B59-1)*7)</f>
        <v/>
      </c>
      <c r="D59" s="26" t="str">
        <f>IF('Tổng quan'!$B$4="","",C59+6)</f>
        <v/>
      </c>
      <c r="E59" s="17" t="s">
        <v>179</v>
      </c>
      <c r="F59" s="18" t="s">
        <v>204</v>
      </c>
      <c r="G59" s="17" t="s">
        <v>17</v>
      </c>
      <c r="H59" s="17" t="s">
        <v>17</v>
      </c>
      <c r="I59" s="18" t="s">
        <v>205</v>
      </c>
      <c r="J59" s="20" t="s">
        <v>19</v>
      </c>
      <c r="K59" s="21">
        <v>0</v>
      </c>
      <c r="L59" s="22"/>
    </row>
  </sheetData>
  <autoFilter ref="A4:L59" xr:uid="{00000000-0009-0000-0000-000001000000}"/>
  <conditionalFormatting sqref="A5:E109">
    <cfRule type="expression" dxfId="5" priority="6" stopIfTrue="1">
      <formula>$J5="Hoàn thành"</formula>
    </cfRule>
  </conditionalFormatting>
  <conditionalFormatting sqref="F5:F109">
    <cfRule type="expression" dxfId="4" priority="5" stopIfTrue="1">
      <formula>$J5="Hoàn thành"</formula>
    </cfRule>
  </conditionalFormatting>
  <conditionalFormatting sqref="G5:I109">
    <cfRule type="expression" dxfId="3" priority="7" stopIfTrue="1">
      <formula>$J5="Hoàn thành"</formula>
    </cfRule>
  </conditionalFormatting>
  <conditionalFormatting sqref="J5:J109">
    <cfRule type="cellIs" dxfId="2" priority="1" operator="equal">
      <formula>"Hoàn thành"</formula>
    </cfRule>
    <cfRule type="cellIs" dxfId="1" priority="2" operator="equal">
      <formula>"Đang làm"</formula>
    </cfRule>
    <cfRule type="cellIs" dxfId="0" priority="3" operator="equal">
      <formula>"Trễ hạn"</formula>
    </cfRule>
  </conditionalFormatting>
  <dataValidations count="3">
    <dataValidation type="list" allowBlank="1" sqref="J5:J109" xr:uid="{00000000-0002-0000-0100-000000000000}">
      <formula1>"Chưa bắt đầu,Đang làm,Hoàn thành,Trễ hạn"</formula1>
    </dataValidation>
    <dataValidation type="list" allowBlank="1" sqref="G5:H109" xr:uid="{00000000-0002-0000-0100-000001000000}">
      <formula1>"Khôi,Hữu Khoa,Đăng Khoa,Cả nhóm"</formula1>
    </dataValidation>
    <dataValidation type="decimal" allowBlank="1" showErrorMessage="1" error="Nhập từ 0% đến 100%" sqref="K5:K109" xr:uid="{00000000-0002-0000-0100-000002000000}">
      <formula1>0</formula1>
      <formula2>1</formula2>
    </dataValidation>
  </dataValidation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2" customWidth="1"/>
    <col min="2" max="4" width="52" customWidth="1"/>
  </cols>
  <sheetData>
    <row r="1" spans="1:4" ht="18" customHeight="1" x14ac:dyDescent="0.2">
      <c r="A1" s="1" t="s">
        <v>278</v>
      </c>
    </row>
    <row r="2" spans="1:4" x14ac:dyDescent="0.2">
      <c r="A2" s="2" t="s">
        <v>279</v>
      </c>
    </row>
    <row r="4" spans="1:4" x14ac:dyDescent="0.2">
      <c r="A4" s="6" t="s">
        <v>280</v>
      </c>
      <c r="B4" s="6" t="s">
        <v>281</v>
      </c>
      <c r="C4" s="6" t="s">
        <v>282</v>
      </c>
      <c r="D4" s="6" t="s">
        <v>283</v>
      </c>
    </row>
    <row r="5" spans="1:4" ht="55" customHeight="1" x14ac:dyDescent="0.2">
      <c r="A5" s="27" t="s">
        <v>284</v>
      </c>
      <c r="B5" s="8" t="s">
        <v>285</v>
      </c>
      <c r="C5" s="8" t="s">
        <v>286</v>
      </c>
      <c r="D5" s="8" t="s">
        <v>287</v>
      </c>
    </row>
    <row r="6" spans="1:4" ht="30" customHeight="1" x14ac:dyDescent="0.2">
      <c r="A6" s="27" t="s">
        <v>288</v>
      </c>
      <c r="B6" s="8" t="s">
        <v>289</v>
      </c>
      <c r="C6" s="8" t="s">
        <v>290</v>
      </c>
      <c r="D6" s="8" t="s">
        <v>291</v>
      </c>
    </row>
    <row r="7" spans="1:4" ht="70" customHeight="1" x14ac:dyDescent="0.2">
      <c r="A7" s="27" t="s">
        <v>292</v>
      </c>
      <c r="B7" s="8" t="s">
        <v>293</v>
      </c>
      <c r="C7" s="8" t="s">
        <v>294</v>
      </c>
      <c r="D7" s="8" t="s">
        <v>295</v>
      </c>
    </row>
    <row r="8" spans="1:4" ht="40" customHeight="1" x14ac:dyDescent="0.2">
      <c r="A8" s="27" t="s">
        <v>296</v>
      </c>
      <c r="B8" s="8" t="s">
        <v>297</v>
      </c>
      <c r="C8" s="8" t="s">
        <v>298</v>
      </c>
      <c r="D8" s="8" t="s">
        <v>299</v>
      </c>
    </row>
    <row r="9" spans="1:4" ht="30" customHeight="1" x14ac:dyDescent="0.2">
      <c r="A9" s="27" t="s">
        <v>300</v>
      </c>
      <c r="B9" s="8" t="s">
        <v>301</v>
      </c>
      <c r="C9" s="8" t="s">
        <v>302</v>
      </c>
      <c r="D9" s="8" t="s">
        <v>303</v>
      </c>
    </row>
    <row r="10" spans="1:4" ht="70" customHeight="1" x14ac:dyDescent="0.2">
      <c r="A10" s="27" t="s">
        <v>304</v>
      </c>
      <c r="B10" s="8" t="s">
        <v>305</v>
      </c>
      <c r="C10" s="8" t="s">
        <v>306</v>
      </c>
      <c r="D10" s="8" t="s">
        <v>307</v>
      </c>
    </row>
    <row r="11" spans="1:4" ht="30" customHeight="1" x14ac:dyDescent="0.2">
      <c r="A11" s="27" t="s">
        <v>308</v>
      </c>
      <c r="B11" s="8" t="s">
        <v>309</v>
      </c>
      <c r="C11" s="8" t="s">
        <v>310</v>
      </c>
      <c r="D11" s="8" t="s">
        <v>311</v>
      </c>
    </row>
    <row r="12" spans="1:4" ht="30" customHeight="1" x14ac:dyDescent="0.2">
      <c r="A12" s="27" t="s">
        <v>312</v>
      </c>
      <c r="B12" s="8" t="s">
        <v>313</v>
      </c>
      <c r="C12" s="8" t="s">
        <v>314</v>
      </c>
      <c r="D12" s="8" t="s">
        <v>315</v>
      </c>
    </row>
  </sheetData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52" customWidth="1"/>
    <col min="3" max="3" width="14" customWidth="1"/>
    <col min="4" max="4" width="22" customWidth="1"/>
    <col min="5" max="5" width="14" customWidth="1"/>
    <col min="6" max="6" width="10" customWidth="1"/>
    <col min="7" max="7" width="14" customWidth="1"/>
  </cols>
  <sheetData>
    <row r="1" spans="1:7" ht="18" customHeight="1" x14ac:dyDescent="0.2">
      <c r="A1" s="1" t="s">
        <v>316</v>
      </c>
    </row>
    <row r="2" spans="1:7" x14ac:dyDescent="0.2">
      <c r="A2" s="2" t="s">
        <v>317</v>
      </c>
    </row>
    <row r="4" spans="1:7" x14ac:dyDescent="0.2">
      <c r="A4" s="6" t="s">
        <v>318</v>
      </c>
      <c r="B4" s="6" t="s">
        <v>319</v>
      </c>
      <c r="C4" s="6" t="s">
        <v>320</v>
      </c>
      <c r="D4" s="6" t="s">
        <v>321</v>
      </c>
      <c r="E4" s="6" t="s">
        <v>322</v>
      </c>
      <c r="F4" s="6" t="s">
        <v>323</v>
      </c>
      <c r="G4" s="6" t="s">
        <v>11</v>
      </c>
    </row>
    <row r="5" spans="1:7" ht="28" customHeight="1" x14ac:dyDescent="0.2">
      <c r="A5" s="7" t="s">
        <v>324</v>
      </c>
      <c r="B5" s="8" t="s">
        <v>325</v>
      </c>
      <c r="C5" s="7" t="s">
        <v>22</v>
      </c>
      <c r="D5" s="8" t="s">
        <v>326</v>
      </c>
      <c r="E5" s="7" t="s">
        <v>327</v>
      </c>
      <c r="F5" s="7">
        <v>12</v>
      </c>
      <c r="G5" s="20" t="s">
        <v>30</v>
      </c>
    </row>
    <row r="6" spans="1:7" x14ac:dyDescent="0.2">
      <c r="A6" s="7" t="s">
        <v>328</v>
      </c>
      <c r="B6" s="8" t="s">
        <v>329</v>
      </c>
      <c r="C6" s="7" t="s">
        <v>22</v>
      </c>
      <c r="D6" s="8" t="s">
        <v>324</v>
      </c>
      <c r="E6" s="7" t="s">
        <v>241</v>
      </c>
      <c r="F6" s="7">
        <v>2</v>
      </c>
      <c r="G6" s="20" t="s">
        <v>30</v>
      </c>
    </row>
    <row r="7" spans="1:7" x14ac:dyDescent="0.2">
      <c r="A7" s="7" t="s">
        <v>330</v>
      </c>
      <c r="B7" s="8" t="s">
        <v>331</v>
      </c>
      <c r="C7" s="7" t="s">
        <v>22</v>
      </c>
      <c r="D7" s="8" t="s">
        <v>34</v>
      </c>
      <c r="E7" s="7" t="s">
        <v>241</v>
      </c>
      <c r="F7" s="7">
        <v>2</v>
      </c>
      <c r="G7" s="20" t="s">
        <v>30</v>
      </c>
    </row>
    <row r="8" spans="1:7" x14ac:dyDescent="0.2">
      <c r="A8" s="7" t="s">
        <v>332</v>
      </c>
      <c r="B8" s="8" t="s">
        <v>333</v>
      </c>
      <c r="C8" s="7" t="s">
        <v>22</v>
      </c>
      <c r="D8" s="8" t="s">
        <v>334</v>
      </c>
      <c r="E8" s="7" t="s">
        <v>241</v>
      </c>
      <c r="F8" s="7">
        <v>2</v>
      </c>
      <c r="G8" s="20" t="s">
        <v>30</v>
      </c>
    </row>
    <row r="9" spans="1:7" x14ac:dyDescent="0.2">
      <c r="A9" s="7" t="s">
        <v>335</v>
      </c>
      <c r="B9" s="8" t="s">
        <v>336</v>
      </c>
      <c r="C9" s="7" t="s">
        <v>34</v>
      </c>
      <c r="D9" s="8" t="s">
        <v>324</v>
      </c>
      <c r="E9" s="7" t="s">
        <v>246</v>
      </c>
      <c r="F9" s="7">
        <v>4</v>
      </c>
      <c r="G9" s="20" t="s">
        <v>30</v>
      </c>
    </row>
    <row r="10" spans="1:7" x14ac:dyDescent="0.2">
      <c r="A10" s="7" t="s">
        <v>337</v>
      </c>
      <c r="B10" s="8" t="s">
        <v>338</v>
      </c>
      <c r="C10" s="7" t="s">
        <v>34</v>
      </c>
      <c r="D10" s="8" t="s">
        <v>339</v>
      </c>
      <c r="E10" s="7" t="s">
        <v>246</v>
      </c>
      <c r="F10" s="7">
        <v>4</v>
      </c>
      <c r="G10" s="20" t="s">
        <v>30</v>
      </c>
    </row>
    <row r="11" spans="1:7" x14ac:dyDescent="0.2">
      <c r="A11" s="7" t="s">
        <v>340</v>
      </c>
      <c r="B11" s="8" t="s">
        <v>341</v>
      </c>
      <c r="C11" s="7" t="s">
        <v>34</v>
      </c>
      <c r="D11" s="8" t="s">
        <v>339</v>
      </c>
      <c r="E11" s="7" t="s">
        <v>251</v>
      </c>
      <c r="F11" s="7">
        <v>8</v>
      </c>
      <c r="G11" s="20" t="s">
        <v>24</v>
      </c>
    </row>
    <row r="12" spans="1:7" x14ac:dyDescent="0.2">
      <c r="A12" s="7" t="s">
        <v>342</v>
      </c>
      <c r="B12" s="8" t="s">
        <v>343</v>
      </c>
      <c r="C12" s="7" t="s">
        <v>28</v>
      </c>
      <c r="D12" s="8" t="s">
        <v>339</v>
      </c>
      <c r="E12" s="7" t="s">
        <v>251</v>
      </c>
      <c r="F12" s="7">
        <v>8</v>
      </c>
      <c r="G12" s="20" t="s">
        <v>24</v>
      </c>
    </row>
    <row r="13" spans="1:7" x14ac:dyDescent="0.2">
      <c r="A13" s="7" t="s">
        <v>344</v>
      </c>
      <c r="B13" s="8" t="s">
        <v>345</v>
      </c>
      <c r="C13" s="7" t="s">
        <v>34</v>
      </c>
      <c r="D13" s="8" t="s">
        <v>346</v>
      </c>
      <c r="E13" s="7" t="s">
        <v>251</v>
      </c>
      <c r="F13" s="7">
        <v>8</v>
      </c>
      <c r="G13" s="20" t="s">
        <v>24</v>
      </c>
    </row>
    <row r="14" spans="1:7" x14ac:dyDescent="0.2">
      <c r="A14" s="7" t="s">
        <v>347</v>
      </c>
      <c r="B14" s="8" t="s">
        <v>348</v>
      </c>
      <c r="C14" s="7" t="s">
        <v>34</v>
      </c>
      <c r="D14" s="8" t="s">
        <v>339</v>
      </c>
      <c r="E14" s="7" t="s">
        <v>256</v>
      </c>
      <c r="F14" s="7">
        <v>10</v>
      </c>
      <c r="G14" s="20" t="s">
        <v>19</v>
      </c>
    </row>
    <row r="15" spans="1:7" x14ac:dyDescent="0.2">
      <c r="A15" s="7" t="s">
        <v>349</v>
      </c>
      <c r="B15" s="8" t="s">
        <v>350</v>
      </c>
      <c r="C15" s="7" t="s">
        <v>28</v>
      </c>
      <c r="D15" s="8" t="s">
        <v>351</v>
      </c>
      <c r="E15" s="7" t="s">
        <v>256</v>
      </c>
      <c r="F15" s="7">
        <v>10</v>
      </c>
      <c r="G15" s="20" t="s">
        <v>19</v>
      </c>
    </row>
    <row r="16" spans="1:7" x14ac:dyDescent="0.2">
      <c r="A16" s="7" t="s">
        <v>352</v>
      </c>
      <c r="B16" s="8" t="s">
        <v>353</v>
      </c>
      <c r="C16" s="7" t="s">
        <v>28</v>
      </c>
      <c r="D16" s="8" t="s">
        <v>354</v>
      </c>
      <c r="E16" s="7" t="s">
        <v>256</v>
      </c>
      <c r="F16" s="7">
        <v>10</v>
      </c>
      <c r="G16" s="20" t="s">
        <v>19</v>
      </c>
    </row>
    <row r="17" spans="1:7" x14ac:dyDescent="0.2">
      <c r="A17" s="7" t="s">
        <v>355</v>
      </c>
      <c r="B17" s="8" t="s">
        <v>356</v>
      </c>
      <c r="C17" s="7" t="s">
        <v>28</v>
      </c>
      <c r="D17" s="8" t="s">
        <v>22</v>
      </c>
      <c r="E17" s="7" t="s">
        <v>256</v>
      </c>
      <c r="F17" s="7">
        <v>10</v>
      </c>
      <c r="G17" s="20" t="s">
        <v>19</v>
      </c>
    </row>
    <row r="18" spans="1:7" x14ac:dyDescent="0.2">
      <c r="A18" s="7" t="s">
        <v>357</v>
      </c>
      <c r="B18" s="8" t="s">
        <v>358</v>
      </c>
      <c r="C18" s="7" t="s">
        <v>22</v>
      </c>
      <c r="D18" s="8" t="s">
        <v>359</v>
      </c>
      <c r="E18" s="7" t="s">
        <v>360</v>
      </c>
      <c r="F18" s="7">
        <v>12</v>
      </c>
      <c r="G18" s="20" t="s">
        <v>19</v>
      </c>
    </row>
    <row r="19" spans="1:7" x14ac:dyDescent="0.2">
      <c r="A19" s="7" t="s">
        <v>361</v>
      </c>
      <c r="B19" s="8" t="s">
        <v>362</v>
      </c>
      <c r="C19" s="7" t="s">
        <v>22</v>
      </c>
      <c r="D19" s="8" t="s">
        <v>363</v>
      </c>
      <c r="E19" s="7" t="s">
        <v>324</v>
      </c>
      <c r="F19" s="7">
        <v>11</v>
      </c>
      <c r="G19" s="20" t="s">
        <v>19</v>
      </c>
    </row>
  </sheetData>
  <dataValidations count="1">
    <dataValidation type="list" allowBlank="1" sqref="G5:G19" xr:uid="{00000000-0002-0000-0300-000000000000}">
      <formula1>"Chưa bắt đầu,Đang làm,Hoàn thành,Trễ hạn"</formula1>
    </dataValidation>
  </dataValidation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0"/>
  <sheetViews>
    <sheetView showGridLines="0" workbookViewId="0">
      <pane ySplit="4" topLeftCell="A8" activePane="bottomLeft" state="frozen"/>
      <selection pane="bottomLeft"/>
    </sheetView>
  </sheetViews>
  <sheetFormatPr baseColWidth="10" defaultColWidth="8.83203125" defaultRowHeight="15" x14ac:dyDescent="0.2"/>
  <cols>
    <col min="1" max="1" width="7" customWidth="1"/>
    <col min="2" max="2" width="12" customWidth="1"/>
    <col min="3" max="3" width="14" customWidth="1"/>
    <col min="4" max="4" width="44" customWidth="1"/>
    <col min="5" max="5" width="40" customWidth="1"/>
    <col min="6" max="6" width="34" customWidth="1"/>
    <col min="7" max="7" width="30" customWidth="1"/>
  </cols>
  <sheetData>
    <row r="1" spans="1:7" ht="18" customHeight="1" x14ac:dyDescent="0.2">
      <c r="A1" s="1" t="s">
        <v>364</v>
      </c>
    </row>
    <row r="2" spans="1:7" x14ac:dyDescent="0.2">
      <c r="A2" s="2" t="s">
        <v>365</v>
      </c>
    </row>
    <row r="4" spans="1:7" x14ac:dyDescent="0.2">
      <c r="A4" s="6" t="s">
        <v>3</v>
      </c>
      <c r="B4" s="6" t="s">
        <v>366</v>
      </c>
      <c r="C4" s="6" t="s">
        <v>210</v>
      </c>
      <c r="D4" s="6" t="s">
        <v>367</v>
      </c>
      <c r="E4" s="6" t="s">
        <v>368</v>
      </c>
      <c r="F4" s="6" t="s">
        <v>369</v>
      </c>
      <c r="G4" s="6" t="s">
        <v>370</v>
      </c>
    </row>
    <row r="5" spans="1:7" ht="28" customHeight="1" x14ac:dyDescent="0.2">
      <c r="A5" s="28">
        <v>1</v>
      </c>
      <c r="B5" s="29"/>
      <c r="C5" s="28" t="s">
        <v>34</v>
      </c>
      <c r="D5" s="30" t="s">
        <v>371</v>
      </c>
      <c r="E5" s="30" t="s">
        <v>372</v>
      </c>
      <c r="F5" s="30" t="s">
        <v>373</v>
      </c>
      <c r="G5" s="30" t="s">
        <v>374</v>
      </c>
    </row>
    <row r="6" spans="1:7" ht="98" customHeight="1" x14ac:dyDescent="0.2">
      <c r="A6" s="20">
        <v>1</v>
      </c>
      <c r="B6" s="31">
        <v>46303</v>
      </c>
      <c r="C6" s="20" t="s">
        <v>22</v>
      </c>
      <c r="D6" s="22" t="s">
        <v>375</v>
      </c>
      <c r="E6" s="22" t="s">
        <v>376</v>
      </c>
      <c r="F6" s="22" t="s">
        <v>377</v>
      </c>
      <c r="G6" s="22" t="s">
        <v>378</v>
      </c>
    </row>
    <row r="7" spans="1:7" ht="98" customHeight="1" x14ac:dyDescent="0.2">
      <c r="A7" s="20">
        <v>2</v>
      </c>
      <c r="B7" s="31">
        <v>46309</v>
      </c>
      <c r="C7" s="20" t="s">
        <v>22</v>
      </c>
      <c r="D7" s="22" t="s">
        <v>379</v>
      </c>
      <c r="E7" s="22" t="s">
        <v>380</v>
      </c>
      <c r="F7" s="22" t="s">
        <v>381</v>
      </c>
      <c r="G7" s="22" t="s">
        <v>382</v>
      </c>
    </row>
    <row r="8" spans="1:7" ht="210" x14ac:dyDescent="0.2">
      <c r="A8" s="20">
        <v>3</v>
      </c>
      <c r="B8" s="31">
        <v>46314</v>
      </c>
      <c r="C8" s="20" t="s">
        <v>22</v>
      </c>
      <c r="D8" s="22" t="s">
        <v>383</v>
      </c>
      <c r="E8" s="22" t="s">
        <v>384</v>
      </c>
      <c r="F8" s="22" t="s">
        <v>385</v>
      </c>
      <c r="G8" s="22" t="s">
        <v>386</v>
      </c>
    </row>
    <row r="9" spans="1:7" ht="345" x14ac:dyDescent="0.2">
      <c r="A9" s="20">
        <v>4</v>
      </c>
      <c r="B9" s="31">
        <v>46322</v>
      </c>
      <c r="C9" s="20" t="s">
        <v>22</v>
      </c>
      <c r="D9" s="22" t="s">
        <v>408</v>
      </c>
      <c r="E9" s="22" t="s">
        <v>401</v>
      </c>
      <c r="F9" s="22" t="s">
        <v>409</v>
      </c>
      <c r="G9" s="22" t="s">
        <v>410</v>
      </c>
    </row>
    <row r="10" spans="1:7" x14ac:dyDescent="0.2">
      <c r="A10" s="20"/>
      <c r="B10" s="31"/>
      <c r="C10" s="20"/>
      <c r="D10" s="22"/>
      <c r="E10" s="22"/>
      <c r="F10" s="22"/>
      <c r="G10" s="22"/>
    </row>
    <row r="11" spans="1:7" x14ac:dyDescent="0.2">
      <c r="A11" s="20"/>
      <c r="B11" s="31"/>
      <c r="C11" s="20"/>
      <c r="D11" s="22"/>
      <c r="E11" s="22"/>
      <c r="F11" s="22"/>
      <c r="G11" s="22"/>
    </row>
    <row r="12" spans="1:7" x14ac:dyDescent="0.2">
      <c r="A12" s="20"/>
      <c r="B12" s="31"/>
      <c r="C12" s="20"/>
      <c r="D12" s="22"/>
      <c r="E12" s="22"/>
      <c r="F12" s="22"/>
      <c r="G12" s="22"/>
    </row>
    <row r="13" spans="1:7" x14ac:dyDescent="0.2">
      <c r="A13" s="20"/>
      <c r="B13" s="31"/>
      <c r="C13" s="20"/>
      <c r="D13" s="22"/>
      <c r="E13" s="22"/>
      <c r="F13" s="22"/>
      <c r="G13" s="22"/>
    </row>
    <row r="14" spans="1:7" x14ac:dyDescent="0.2">
      <c r="A14" s="20"/>
      <c r="B14" s="31"/>
      <c r="C14" s="20"/>
      <c r="D14" s="22"/>
      <c r="E14" s="22"/>
      <c r="F14" s="22"/>
      <c r="G14" s="22"/>
    </row>
    <row r="15" spans="1:7" x14ac:dyDescent="0.2">
      <c r="A15" s="20"/>
      <c r="B15" s="31"/>
      <c r="C15" s="20"/>
      <c r="D15" s="22"/>
      <c r="E15" s="22"/>
      <c r="F15" s="22"/>
      <c r="G15" s="22"/>
    </row>
    <row r="16" spans="1:7" x14ac:dyDescent="0.2">
      <c r="A16" s="20"/>
      <c r="B16" s="31"/>
      <c r="C16" s="20"/>
      <c r="D16" s="22"/>
      <c r="E16" s="22"/>
      <c r="F16" s="22"/>
      <c r="G16" s="22"/>
    </row>
    <row r="17" spans="1:7" x14ac:dyDescent="0.2">
      <c r="A17" s="20"/>
      <c r="B17" s="31"/>
      <c r="C17" s="20"/>
      <c r="D17" s="22"/>
      <c r="E17" s="22"/>
      <c r="F17" s="22"/>
      <c r="G17" s="22"/>
    </row>
    <row r="18" spans="1:7" x14ac:dyDescent="0.2">
      <c r="A18" s="20"/>
      <c r="B18" s="31"/>
      <c r="C18" s="20"/>
      <c r="D18" s="22"/>
      <c r="E18" s="22"/>
      <c r="F18" s="22"/>
      <c r="G18" s="22"/>
    </row>
    <row r="19" spans="1:7" x14ac:dyDescent="0.2">
      <c r="A19" s="20"/>
      <c r="B19" s="31"/>
      <c r="C19" s="20"/>
      <c r="D19" s="22"/>
      <c r="E19" s="22"/>
      <c r="F19" s="22"/>
      <c r="G19" s="22"/>
    </row>
    <row r="20" spans="1:7" x14ac:dyDescent="0.2">
      <c r="A20" s="20"/>
      <c r="B20" s="31"/>
      <c r="C20" s="20"/>
      <c r="D20" s="22"/>
      <c r="E20" s="22"/>
      <c r="F20" s="22"/>
      <c r="G20" s="22"/>
    </row>
    <row r="21" spans="1:7" x14ac:dyDescent="0.2">
      <c r="A21" s="20"/>
      <c r="B21" s="31"/>
      <c r="C21" s="20"/>
      <c r="D21" s="22"/>
      <c r="E21" s="22"/>
      <c r="F21" s="22"/>
      <c r="G21" s="22"/>
    </row>
    <row r="22" spans="1:7" x14ac:dyDescent="0.2">
      <c r="A22" s="20"/>
      <c r="B22" s="31"/>
      <c r="C22" s="20"/>
      <c r="D22" s="22"/>
      <c r="E22" s="22"/>
      <c r="F22" s="22"/>
      <c r="G22" s="22"/>
    </row>
    <row r="23" spans="1:7" x14ac:dyDescent="0.2">
      <c r="A23" s="20"/>
      <c r="B23" s="31"/>
      <c r="C23" s="20"/>
      <c r="D23" s="22"/>
      <c r="E23" s="22"/>
      <c r="F23" s="22"/>
      <c r="G23" s="22"/>
    </row>
    <row r="24" spans="1:7" x14ac:dyDescent="0.2">
      <c r="A24" s="20"/>
      <c r="B24" s="31"/>
      <c r="C24" s="20"/>
      <c r="D24" s="22"/>
      <c r="E24" s="22"/>
      <c r="F24" s="22"/>
      <c r="G24" s="22"/>
    </row>
    <row r="25" spans="1:7" x14ac:dyDescent="0.2">
      <c r="A25" s="20"/>
      <c r="B25" s="31"/>
      <c r="C25" s="20"/>
      <c r="D25" s="22"/>
      <c r="E25" s="22"/>
      <c r="F25" s="22"/>
      <c r="G25" s="22"/>
    </row>
    <row r="26" spans="1:7" x14ac:dyDescent="0.2">
      <c r="A26" s="20"/>
      <c r="B26" s="31"/>
      <c r="C26" s="20"/>
      <c r="D26" s="22"/>
      <c r="E26" s="22"/>
      <c r="F26" s="22"/>
      <c r="G26" s="22"/>
    </row>
    <row r="27" spans="1:7" x14ac:dyDescent="0.2">
      <c r="A27" s="20"/>
      <c r="B27" s="31"/>
      <c r="C27" s="20"/>
      <c r="D27" s="22"/>
      <c r="E27" s="22"/>
      <c r="F27" s="22"/>
      <c r="G27" s="22"/>
    </row>
    <row r="28" spans="1:7" x14ac:dyDescent="0.2">
      <c r="A28" s="20"/>
      <c r="B28" s="31"/>
      <c r="C28" s="20"/>
      <c r="D28" s="22"/>
      <c r="E28" s="22"/>
      <c r="F28" s="22"/>
      <c r="G28" s="22"/>
    </row>
    <row r="29" spans="1:7" x14ac:dyDescent="0.2">
      <c r="A29" s="20"/>
      <c r="B29" s="31"/>
      <c r="C29" s="20"/>
      <c r="D29" s="22"/>
      <c r="E29" s="22"/>
      <c r="F29" s="22"/>
      <c r="G29" s="22"/>
    </row>
    <row r="30" spans="1:7" x14ac:dyDescent="0.2">
      <c r="A30" s="20"/>
      <c r="B30" s="31"/>
      <c r="C30" s="20"/>
      <c r="D30" s="22"/>
      <c r="E30" s="22"/>
      <c r="F30" s="22"/>
      <c r="G30" s="22"/>
    </row>
    <row r="31" spans="1:7" x14ac:dyDescent="0.2">
      <c r="A31" s="20"/>
      <c r="B31" s="31"/>
      <c r="C31" s="20"/>
      <c r="D31" s="22"/>
      <c r="E31" s="22"/>
      <c r="F31" s="22"/>
      <c r="G31" s="22"/>
    </row>
    <row r="32" spans="1:7" x14ac:dyDescent="0.2">
      <c r="A32" s="20"/>
      <c r="B32" s="31"/>
      <c r="C32" s="20"/>
      <c r="D32" s="22"/>
      <c r="E32" s="22"/>
      <c r="F32" s="22"/>
      <c r="G32" s="22"/>
    </row>
    <row r="33" spans="1:7" x14ac:dyDescent="0.2">
      <c r="A33" s="20"/>
      <c r="B33" s="31"/>
      <c r="C33" s="20"/>
      <c r="D33" s="22"/>
      <c r="E33" s="22"/>
      <c r="F33" s="22"/>
      <c r="G33" s="22"/>
    </row>
    <row r="34" spans="1:7" x14ac:dyDescent="0.2">
      <c r="A34" s="20"/>
      <c r="B34" s="31"/>
      <c r="C34" s="20"/>
      <c r="D34" s="22"/>
      <c r="E34" s="22"/>
      <c r="F34" s="22"/>
      <c r="G34" s="22"/>
    </row>
    <row r="35" spans="1:7" x14ac:dyDescent="0.2">
      <c r="A35" s="20"/>
      <c r="B35" s="31"/>
      <c r="C35" s="20"/>
      <c r="D35" s="22"/>
      <c r="E35" s="22"/>
      <c r="F35" s="22"/>
      <c r="G35" s="22"/>
    </row>
    <row r="36" spans="1:7" x14ac:dyDescent="0.2">
      <c r="A36" s="20"/>
      <c r="B36" s="31"/>
      <c r="C36" s="20"/>
      <c r="D36" s="22"/>
      <c r="E36" s="22"/>
      <c r="F36" s="22"/>
      <c r="G36" s="22"/>
    </row>
    <row r="37" spans="1:7" x14ac:dyDescent="0.2">
      <c r="A37" s="20"/>
      <c r="B37" s="31"/>
      <c r="C37" s="20"/>
      <c r="D37" s="22"/>
      <c r="E37" s="22"/>
      <c r="F37" s="22"/>
      <c r="G37" s="22"/>
    </row>
    <row r="38" spans="1:7" x14ac:dyDescent="0.2">
      <c r="A38" s="20"/>
      <c r="B38" s="31"/>
      <c r="C38" s="20"/>
      <c r="D38" s="22"/>
      <c r="E38" s="22"/>
      <c r="F38" s="22"/>
      <c r="G38" s="22"/>
    </row>
    <row r="39" spans="1:7" x14ac:dyDescent="0.2">
      <c r="A39" s="20"/>
      <c r="B39" s="31"/>
      <c r="C39" s="20"/>
      <c r="D39" s="22"/>
      <c r="E39" s="22"/>
      <c r="F39" s="22"/>
      <c r="G39" s="22"/>
    </row>
    <row r="40" spans="1:7" x14ac:dyDescent="0.2">
      <c r="A40" s="20"/>
      <c r="B40" s="31"/>
      <c r="C40" s="20"/>
      <c r="D40" s="22"/>
      <c r="E40" s="22"/>
      <c r="F40" s="22"/>
      <c r="G40" s="22"/>
    </row>
    <row r="41" spans="1:7" x14ac:dyDescent="0.2">
      <c r="A41" s="20"/>
      <c r="B41" s="31"/>
      <c r="C41" s="20"/>
      <c r="D41" s="22"/>
      <c r="E41" s="22"/>
      <c r="F41" s="22"/>
      <c r="G41" s="22"/>
    </row>
    <row r="42" spans="1:7" x14ac:dyDescent="0.2">
      <c r="B42" s="32"/>
    </row>
    <row r="43" spans="1:7" x14ac:dyDescent="0.2">
      <c r="B43" s="32"/>
    </row>
    <row r="44" spans="1:7" x14ac:dyDescent="0.2">
      <c r="B44" s="32"/>
    </row>
    <row r="45" spans="1:7" x14ac:dyDescent="0.2">
      <c r="B45" s="32"/>
    </row>
    <row r="46" spans="1:7" x14ac:dyDescent="0.2">
      <c r="B46" s="32"/>
    </row>
    <row r="47" spans="1:7" x14ac:dyDescent="0.2">
      <c r="B47" s="32"/>
    </row>
    <row r="48" spans="1:7" x14ac:dyDescent="0.2">
      <c r="B48" s="32"/>
    </row>
    <row r="49" spans="2:2" x14ac:dyDescent="0.2">
      <c r="B49" s="32"/>
    </row>
    <row r="50" spans="2:2" x14ac:dyDescent="0.2">
      <c r="B50" s="32"/>
    </row>
    <row r="51" spans="2:2" x14ac:dyDescent="0.2">
      <c r="B51" s="32"/>
    </row>
    <row r="52" spans="2:2" x14ac:dyDescent="0.2">
      <c r="B52" s="32"/>
    </row>
    <row r="53" spans="2:2" x14ac:dyDescent="0.2">
      <c r="B53" s="32"/>
    </row>
    <row r="54" spans="2:2" x14ac:dyDescent="0.2">
      <c r="B54" s="32"/>
    </row>
    <row r="55" spans="2:2" x14ac:dyDescent="0.2">
      <c r="B55" s="32"/>
    </row>
    <row r="56" spans="2:2" x14ac:dyDescent="0.2">
      <c r="B56" s="32"/>
    </row>
    <row r="57" spans="2:2" x14ac:dyDescent="0.2">
      <c r="B57" s="32"/>
    </row>
    <row r="58" spans="2:2" x14ac:dyDescent="0.2">
      <c r="B58" s="32"/>
    </row>
    <row r="59" spans="2:2" x14ac:dyDescent="0.2">
      <c r="B59" s="32"/>
    </row>
    <row r="60" spans="2:2" x14ac:dyDescent="0.2">
      <c r="B60" s="32"/>
    </row>
    <row r="61" spans="2:2" x14ac:dyDescent="0.2">
      <c r="B61" s="32"/>
    </row>
    <row r="62" spans="2:2" x14ac:dyDescent="0.2">
      <c r="B62" s="32"/>
    </row>
    <row r="63" spans="2:2" x14ac:dyDescent="0.2">
      <c r="B63" s="32"/>
    </row>
    <row r="64" spans="2:2" x14ac:dyDescent="0.2">
      <c r="B64" s="32"/>
    </row>
    <row r="65" spans="2:2" x14ac:dyDescent="0.2">
      <c r="B65" s="32"/>
    </row>
    <row r="66" spans="2:2" x14ac:dyDescent="0.2">
      <c r="B66" s="32"/>
    </row>
    <row r="67" spans="2:2" x14ac:dyDescent="0.2">
      <c r="B67" s="32"/>
    </row>
    <row r="68" spans="2:2" x14ac:dyDescent="0.2">
      <c r="B68" s="32"/>
    </row>
    <row r="69" spans="2:2" x14ac:dyDescent="0.2">
      <c r="B69" s="32"/>
    </row>
    <row r="70" spans="2:2" x14ac:dyDescent="0.2">
      <c r="B70" s="32"/>
    </row>
    <row r="71" spans="2:2" x14ac:dyDescent="0.2">
      <c r="B71" s="32"/>
    </row>
    <row r="72" spans="2:2" x14ac:dyDescent="0.2">
      <c r="B72" s="32"/>
    </row>
    <row r="73" spans="2:2" x14ac:dyDescent="0.2">
      <c r="B73" s="32"/>
    </row>
    <row r="74" spans="2:2" x14ac:dyDescent="0.2">
      <c r="B74" s="32"/>
    </row>
    <row r="75" spans="2:2" x14ac:dyDescent="0.2">
      <c r="B75" s="32"/>
    </row>
    <row r="76" spans="2:2" x14ac:dyDescent="0.2">
      <c r="B76" s="32"/>
    </row>
    <row r="77" spans="2:2" x14ac:dyDescent="0.2">
      <c r="B77" s="32"/>
    </row>
    <row r="78" spans="2:2" x14ac:dyDescent="0.2">
      <c r="B78" s="32"/>
    </row>
    <row r="79" spans="2:2" x14ac:dyDescent="0.2">
      <c r="B79" s="32"/>
    </row>
    <row r="80" spans="2:2" x14ac:dyDescent="0.2">
      <c r="B80" s="32"/>
    </row>
    <row r="81" spans="2:2" x14ac:dyDescent="0.2">
      <c r="B81" s="32"/>
    </row>
    <row r="82" spans="2:2" x14ac:dyDescent="0.2">
      <c r="B82" s="32"/>
    </row>
    <row r="83" spans="2:2" x14ac:dyDescent="0.2">
      <c r="B83" s="32"/>
    </row>
    <row r="84" spans="2:2" x14ac:dyDescent="0.2">
      <c r="B84" s="32"/>
    </row>
    <row r="85" spans="2:2" x14ac:dyDescent="0.2">
      <c r="B85" s="32"/>
    </row>
    <row r="86" spans="2:2" x14ac:dyDescent="0.2">
      <c r="B86" s="32"/>
    </row>
    <row r="87" spans="2:2" x14ac:dyDescent="0.2">
      <c r="B87" s="32"/>
    </row>
    <row r="88" spans="2:2" x14ac:dyDescent="0.2">
      <c r="B88" s="32"/>
    </row>
    <row r="89" spans="2:2" x14ac:dyDescent="0.2">
      <c r="B89" s="32"/>
    </row>
    <row r="90" spans="2:2" x14ac:dyDescent="0.2">
      <c r="B90" s="32"/>
    </row>
    <row r="91" spans="2:2" x14ac:dyDescent="0.2">
      <c r="B91" s="32"/>
    </row>
    <row r="92" spans="2:2" x14ac:dyDescent="0.2">
      <c r="B92" s="32"/>
    </row>
    <row r="93" spans="2:2" x14ac:dyDescent="0.2">
      <c r="B93" s="32"/>
    </row>
    <row r="94" spans="2:2" x14ac:dyDescent="0.2">
      <c r="B94" s="32"/>
    </row>
    <row r="95" spans="2:2" x14ac:dyDescent="0.2">
      <c r="B95" s="32"/>
    </row>
    <row r="96" spans="2:2" x14ac:dyDescent="0.2">
      <c r="B96" s="32"/>
    </row>
    <row r="97" spans="2:2" x14ac:dyDescent="0.2">
      <c r="B97" s="32"/>
    </row>
    <row r="98" spans="2:2" x14ac:dyDescent="0.2">
      <c r="B98" s="32"/>
    </row>
    <row r="99" spans="2:2" x14ac:dyDescent="0.2">
      <c r="B99" s="32"/>
    </row>
    <row r="100" spans="2:2" x14ac:dyDescent="0.2">
      <c r="B100" s="32"/>
    </row>
    <row r="101" spans="2:2" x14ac:dyDescent="0.2">
      <c r="B101" s="32"/>
    </row>
    <row r="102" spans="2:2" x14ac:dyDescent="0.2">
      <c r="B102" s="32"/>
    </row>
    <row r="103" spans="2:2" x14ac:dyDescent="0.2">
      <c r="B103" s="32"/>
    </row>
    <row r="104" spans="2:2" x14ac:dyDescent="0.2">
      <c r="B104" s="32"/>
    </row>
    <row r="105" spans="2:2" x14ac:dyDescent="0.2">
      <c r="B105" s="32"/>
    </row>
    <row r="106" spans="2:2" x14ac:dyDescent="0.2">
      <c r="B106" s="32"/>
    </row>
    <row r="107" spans="2:2" x14ac:dyDescent="0.2">
      <c r="B107" s="32"/>
    </row>
    <row r="108" spans="2:2" x14ac:dyDescent="0.2">
      <c r="B108" s="32"/>
    </row>
    <row r="109" spans="2:2" x14ac:dyDescent="0.2">
      <c r="B109" s="32"/>
    </row>
    <row r="110" spans="2:2" x14ac:dyDescent="0.2">
      <c r="B110" s="32"/>
    </row>
    <row r="111" spans="2:2" x14ac:dyDescent="0.2">
      <c r="B111" s="32"/>
    </row>
    <row r="112" spans="2:2" x14ac:dyDescent="0.2">
      <c r="B112" s="32"/>
    </row>
    <row r="113" spans="2:2" x14ac:dyDescent="0.2">
      <c r="B113" s="32"/>
    </row>
    <row r="114" spans="2:2" x14ac:dyDescent="0.2">
      <c r="B114" s="32"/>
    </row>
    <row r="115" spans="2:2" x14ac:dyDescent="0.2">
      <c r="B115" s="32"/>
    </row>
    <row r="116" spans="2:2" x14ac:dyDescent="0.2">
      <c r="B116" s="32"/>
    </row>
    <row r="117" spans="2:2" x14ac:dyDescent="0.2">
      <c r="B117" s="32"/>
    </row>
    <row r="118" spans="2:2" x14ac:dyDescent="0.2">
      <c r="B118" s="32"/>
    </row>
    <row r="119" spans="2:2" x14ac:dyDescent="0.2">
      <c r="B119" s="32"/>
    </row>
    <row r="120" spans="2:2" x14ac:dyDescent="0.2">
      <c r="B120" s="32"/>
    </row>
    <row r="121" spans="2:2" x14ac:dyDescent="0.2">
      <c r="B121" s="32"/>
    </row>
    <row r="122" spans="2:2" x14ac:dyDescent="0.2">
      <c r="B122" s="32"/>
    </row>
    <row r="123" spans="2:2" x14ac:dyDescent="0.2">
      <c r="B123" s="32"/>
    </row>
    <row r="124" spans="2:2" x14ac:dyDescent="0.2">
      <c r="B124" s="32"/>
    </row>
    <row r="125" spans="2:2" x14ac:dyDescent="0.2">
      <c r="B125" s="32"/>
    </row>
    <row r="126" spans="2:2" x14ac:dyDescent="0.2">
      <c r="B126" s="32"/>
    </row>
    <row r="127" spans="2:2" x14ac:dyDescent="0.2">
      <c r="B127" s="32"/>
    </row>
    <row r="128" spans="2:2" x14ac:dyDescent="0.2">
      <c r="B128" s="32"/>
    </row>
    <row r="129" spans="2:2" x14ac:dyDescent="0.2">
      <c r="B129" s="32"/>
    </row>
    <row r="130" spans="2:2" x14ac:dyDescent="0.2">
      <c r="B130" s="32"/>
    </row>
    <row r="131" spans="2:2" x14ac:dyDescent="0.2">
      <c r="B131" s="32"/>
    </row>
    <row r="132" spans="2:2" x14ac:dyDescent="0.2">
      <c r="B132" s="32"/>
    </row>
    <row r="133" spans="2:2" x14ac:dyDescent="0.2">
      <c r="B133" s="32"/>
    </row>
    <row r="134" spans="2:2" x14ac:dyDescent="0.2">
      <c r="B134" s="32"/>
    </row>
    <row r="135" spans="2:2" x14ac:dyDescent="0.2">
      <c r="B135" s="32"/>
    </row>
    <row r="136" spans="2:2" x14ac:dyDescent="0.2">
      <c r="B136" s="32"/>
    </row>
    <row r="137" spans="2:2" x14ac:dyDescent="0.2">
      <c r="B137" s="32"/>
    </row>
    <row r="138" spans="2:2" x14ac:dyDescent="0.2">
      <c r="B138" s="32"/>
    </row>
    <row r="139" spans="2:2" x14ac:dyDescent="0.2">
      <c r="B139" s="32"/>
    </row>
    <row r="140" spans="2:2" x14ac:dyDescent="0.2">
      <c r="B140" s="32"/>
    </row>
    <row r="141" spans="2:2" x14ac:dyDescent="0.2">
      <c r="B141" s="32"/>
    </row>
    <row r="142" spans="2:2" x14ac:dyDescent="0.2">
      <c r="B142" s="32"/>
    </row>
    <row r="143" spans="2:2" x14ac:dyDescent="0.2">
      <c r="B143" s="32"/>
    </row>
    <row r="144" spans="2:2" x14ac:dyDescent="0.2">
      <c r="B144" s="32"/>
    </row>
    <row r="145" spans="2:2" x14ac:dyDescent="0.2">
      <c r="B145" s="32"/>
    </row>
    <row r="146" spans="2:2" x14ac:dyDescent="0.2">
      <c r="B146" s="32"/>
    </row>
    <row r="147" spans="2:2" x14ac:dyDescent="0.2">
      <c r="B147" s="32"/>
    </row>
    <row r="148" spans="2:2" x14ac:dyDescent="0.2">
      <c r="B148" s="32"/>
    </row>
    <row r="149" spans="2:2" x14ac:dyDescent="0.2">
      <c r="B149" s="32"/>
    </row>
    <row r="150" spans="2:2" x14ac:dyDescent="0.2">
      <c r="B150" s="32"/>
    </row>
    <row r="151" spans="2:2" x14ac:dyDescent="0.2">
      <c r="B151" s="32"/>
    </row>
    <row r="152" spans="2:2" x14ac:dyDescent="0.2">
      <c r="B152" s="32"/>
    </row>
    <row r="153" spans="2:2" x14ac:dyDescent="0.2">
      <c r="B153" s="32"/>
    </row>
    <row r="154" spans="2:2" x14ac:dyDescent="0.2">
      <c r="B154" s="32"/>
    </row>
    <row r="155" spans="2:2" x14ac:dyDescent="0.2">
      <c r="B155" s="32"/>
    </row>
    <row r="156" spans="2:2" x14ac:dyDescent="0.2">
      <c r="B156" s="32"/>
    </row>
    <row r="157" spans="2:2" x14ac:dyDescent="0.2">
      <c r="B157" s="32"/>
    </row>
    <row r="158" spans="2:2" x14ac:dyDescent="0.2">
      <c r="B158" s="32"/>
    </row>
    <row r="159" spans="2:2" x14ac:dyDescent="0.2">
      <c r="B159" s="32"/>
    </row>
    <row r="160" spans="2:2" x14ac:dyDescent="0.2">
      <c r="B160" s="32"/>
    </row>
    <row r="161" spans="2:2" x14ac:dyDescent="0.2">
      <c r="B161" s="32"/>
    </row>
    <row r="162" spans="2:2" x14ac:dyDescent="0.2">
      <c r="B162" s="32"/>
    </row>
    <row r="163" spans="2:2" x14ac:dyDescent="0.2">
      <c r="B163" s="32"/>
    </row>
    <row r="164" spans="2:2" x14ac:dyDescent="0.2">
      <c r="B164" s="32"/>
    </row>
    <row r="165" spans="2:2" x14ac:dyDescent="0.2">
      <c r="B165" s="32"/>
    </row>
    <row r="166" spans="2:2" x14ac:dyDescent="0.2">
      <c r="B166" s="32"/>
    </row>
    <row r="167" spans="2:2" x14ac:dyDescent="0.2">
      <c r="B167" s="32"/>
    </row>
    <row r="168" spans="2:2" x14ac:dyDescent="0.2">
      <c r="B168" s="32"/>
    </row>
    <row r="169" spans="2:2" x14ac:dyDescent="0.2">
      <c r="B169" s="32"/>
    </row>
    <row r="170" spans="2:2" x14ac:dyDescent="0.2">
      <c r="B170" s="32"/>
    </row>
    <row r="171" spans="2:2" x14ac:dyDescent="0.2">
      <c r="B171" s="32"/>
    </row>
    <row r="172" spans="2:2" x14ac:dyDescent="0.2">
      <c r="B172" s="32"/>
    </row>
    <row r="173" spans="2:2" x14ac:dyDescent="0.2">
      <c r="B173" s="32"/>
    </row>
    <row r="174" spans="2:2" x14ac:dyDescent="0.2">
      <c r="B174" s="32"/>
    </row>
    <row r="175" spans="2:2" x14ac:dyDescent="0.2">
      <c r="B175" s="32"/>
    </row>
    <row r="176" spans="2:2" x14ac:dyDescent="0.2">
      <c r="B176" s="32"/>
    </row>
    <row r="177" spans="2:2" x14ac:dyDescent="0.2">
      <c r="B177" s="32"/>
    </row>
    <row r="178" spans="2:2" x14ac:dyDescent="0.2">
      <c r="B178" s="32"/>
    </row>
    <row r="179" spans="2:2" x14ac:dyDescent="0.2">
      <c r="B179" s="32"/>
    </row>
    <row r="180" spans="2:2" x14ac:dyDescent="0.2">
      <c r="B180" s="32"/>
    </row>
    <row r="181" spans="2:2" x14ac:dyDescent="0.2">
      <c r="B181" s="32"/>
    </row>
    <row r="182" spans="2:2" x14ac:dyDescent="0.2">
      <c r="B182" s="32"/>
    </row>
    <row r="183" spans="2:2" x14ac:dyDescent="0.2">
      <c r="B183" s="32"/>
    </row>
    <row r="184" spans="2:2" x14ac:dyDescent="0.2">
      <c r="B184" s="32"/>
    </row>
    <row r="185" spans="2:2" x14ac:dyDescent="0.2">
      <c r="B185" s="32"/>
    </row>
    <row r="186" spans="2:2" x14ac:dyDescent="0.2">
      <c r="B186" s="32"/>
    </row>
    <row r="187" spans="2:2" x14ac:dyDescent="0.2">
      <c r="B187" s="32"/>
    </row>
    <row r="188" spans="2:2" x14ac:dyDescent="0.2">
      <c r="B188" s="32"/>
    </row>
    <row r="189" spans="2:2" x14ac:dyDescent="0.2">
      <c r="B189" s="32"/>
    </row>
    <row r="190" spans="2:2" x14ac:dyDescent="0.2">
      <c r="B190" s="32"/>
    </row>
    <row r="191" spans="2:2" x14ac:dyDescent="0.2">
      <c r="B191" s="32"/>
    </row>
    <row r="192" spans="2:2" x14ac:dyDescent="0.2">
      <c r="B192" s="32"/>
    </row>
    <row r="193" spans="2:2" x14ac:dyDescent="0.2">
      <c r="B193" s="32"/>
    </row>
    <row r="194" spans="2:2" x14ac:dyDescent="0.2">
      <c r="B194" s="32"/>
    </row>
    <row r="195" spans="2:2" x14ac:dyDescent="0.2">
      <c r="B195" s="32"/>
    </row>
    <row r="196" spans="2:2" x14ac:dyDescent="0.2">
      <c r="B196" s="32"/>
    </row>
    <row r="197" spans="2:2" x14ac:dyDescent="0.2">
      <c r="B197" s="32"/>
    </row>
    <row r="198" spans="2:2" x14ac:dyDescent="0.2">
      <c r="B198" s="32"/>
    </row>
    <row r="199" spans="2:2" x14ac:dyDescent="0.2">
      <c r="B199" s="32"/>
    </row>
    <row r="200" spans="2:2" x14ac:dyDescent="0.2">
      <c r="B200" s="32"/>
    </row>
  </sheetData>
  <dataValidations count="1">
    <dataValidation type="list" allowBlank="1" sqref="C5:C200" xr:uid="{00000000-0002-0000-0400-000000000000}">
      <formula1>"Khôi,Hữu Khoa,Đăng Khoa"</formula1>
    </dataValidation>
  </dataValidation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"/>
  <sheetViews>
    <sheetView showGridLines="0" workbookViewId="0"/>
  </sheetViews>
  <sheetFormatPr baseColWidth="10" defaultColWidth="8.83203125" defaultRowHeight="15" x14ac:dyDescent="0.2"/>
  <cols>
    <col min="1" max="2" width="16" customWidth="1"/>
    <col min="3" max="3" width="13" customWidth="1"/>
    <col min="4" max="4" width="12" customWidth="1"/>
    <col min="5" max="5" width="11" customWidth="1"/>
    <col min="6" max="7" width="16" customWidth="1"/>
    <col min="8" max="8" width="15" customWidth="1"/>
  </cols>
  <sheetData>
    <row r="1" spans="1:8" ht="18" customHeight="1" x14ac:dyDescent="0.2">
      <c r="A1" s="1" t="s">
        <v>387</v>
      </c>
    </row>
    <row r="2" spans="1:8" x14ac:dyDescent="0.2">
      <c r="A2" s="2" t="s">
        <v>388</v>
      </c>
    </row>
    <row r="4" spans="1:8" ht="28" customHeight="1" x14ac:dyDescent="0.2">
      <c r="A4" s="6" t="s">
        <v>210</v>
      </c>
      <c r="B4" s="6" t="s">
        <v>389</v>
      </c>
      <c r="C4" s="6" t="s">
        <v>30</v>
      </c>
      <c r="D4" s="6" t="s">
        <v>24</v>
      </c>
      <c r="E4" s="6" t="s">
        <v>390</v>
      </c>
      <c r="F4" s="6" t="s">
        <v>391</v>
      </c>
      <c r="G4" s="6" t="s">
        <v>392</v>
      </c>
      <c r="H4" s="6" t="s">
        <v>393</v>
      </c>
    </row>
    <row r="5" spans="1:8" x14ac:dyDescent="0.2">
      <c r="A5" s="33" t="s">
        <v>22</v>
      </c>
      <c r="B5" s="7">
        <f>COUNTIF('Kế hoạch'!$G$5:$G$109,A5)</f>
        <v>19</v>
      </c>
      <c r="C5" s="7">
        <f>COUNTIFS('Kế hoạch'!$G$5:$G$109,A5,'Kế hoạch'!$J$5:$J$109,"Hoàn thành")</f>
        <v>12</v>
      </c>
      <c r="D5" s="7">
        <f>COUNTIFS('Kế hoạch'!$G$5:$G$109,A5,'Kế hoạch'!$J$5:$J$109,"Đang làm")</f>
        <v>2</v>
      </c>
      <c r="E5" s="7">
        <f>COUNTIFS('Kế hoạch'!$G$5:$G$109,A5,'Kế hoạch'!$J$5:$J$109,"Trễ hạn")</f>
        <v>0</v>
      </c>
      <c r="F5" s="34">
        <f>IFERROR(C5/B5,0)</f>
        <v>0.63157894736842102</v>
      </c>
      <c r="G5" s="34">
        <f>IFERROR(AVERAGEIF('Kế hoạch'!$G$5:$G$109,A5,'Kế hoạch'!$K$5:$K$109),0)</f>
        <v>0.68947368421052635</v>
      </c>
      <c r="H5" s="7">
        <f>COUNTIF('Kế hoạch'!$H$5:$H$109,A5)</f>
        <v>10</v>
      </c>
    </row>
    <row r="6" spans="1:8" x14ac:dyDescent="0.2">
      <c r="A6" s="33" t="s">
        <v>34</v>
      </c>
      <c r="B6" s="7">
        <f>COUNTIF('Kế hoạch'!$G$5:$G$109,A6)</f>
        <v>16</v>
      </c>
      <c r="C6" s="7">
        <f>COUNTIFS('Kế hoạch'!$G$5:$G$109,A6,'Kế hoạch'!$J$5:$J$109,"Hoàn thành")</f>
        <v>5</v>
      </c>
      <c r="D6" s="7">
        <f>COUNTIFS('Kế hoạch'!$G$5:$G$109,A6,'Kế hoạch'!$J$5:$J$109,"Đang làm")</f>
        <v>0</v>
      </c>
      <c r="E6" s="7">
        <f>COUNTIFS('Kế hoạch'!$G$5:$G$109,A6,'Kế hoạch'!$J$5:$J$109,"Trễ hạn")</f>
        <v>0</v>
      </c>
      <c r="F6" s="34">
        <f>IFERROR(C6/B6,0)</f>
        <v>0.3125</v>
      </c>
      <c r="G6" s="34">
        <f>IFERROR(AVERAGEIF('Kế hoạch'!$G$5:$G$109,A6,'Kế hoạch'!$K$5:$K$109),0)</f>
        <v>0.3125</v>
      </c>
      <c r="H6" s="7">
        <f>COUNTIF('Kế hoạch'!$H$5:$H$109,A6)</f>
        <v>14</v>
      </c>
    </row>
    <row r="7" spans="1:8" x14ac:dyDescent="0.2">
      <c r="A7" s="33" t="s">
        <v>28</v>
      </c>
      <c r="B7" s="7">
        <f>COUNTIF('Kế hoạch'!$G$5:$G$109,A7)</f>
        <v>17</v>
      </c>
      <c r="C7" s="7">
        <f>COUNTIFS('Kế hoạch'!$G$5:$G$109,A7,'Kế hoạch'!$J$5:$J$109,"Hoàn thành")</f>
        <v>4</v>
      </c>
      <c r="D7" s="7">
        <f>COUNTIFS('Kế hoạch'!$G$5:$G$109,A7,'Kế hoạch'!$J$5:$J$109,"Đang làm")</f>
        <v>1</v>
      </c>
      <c r="E7" s="7">
        <f>COUNTIFS('Kế hoạch'!$G$5:$G$109,A7,'Kế hoạch'!$J$5:$J$109,"Trễ hạn")</f>
        <v>0</v>
      </c>
      <c r="F7" s="34">
        <f>IFERROR(C7/B7,0)</f>
        <v>0.23529411764705882</v>
      </c>
      <c r="G7" s="34">
        <f>IFERROR(AVERAGEIF('Kế hoạch'!$G$5:$G$109,A7,'Kế hoạch'!$K$5:$K$109),0)</f>
        <v>0.25294117647058822</v>
      </c>
      <c r="H7" s="7">
        <f>COUNTIF('Kế hoạch'!$H$5:$H$109,A7)</f>
        <v>13</v>
      </c>
    </row>
    <row r="8" spans="1:8" x14ac:dyDescent="0.2">
      <c r="A8" s="33" t="s">
        <v>17</v>
      </c>
      <c r="B8" s="7">
        <f>COUNTIF('Kế hoạch'!$G$5:$G$109,A8)</f>
        <v>3</v>
      </c>
      <c r="C8" s="7">
        <f>COUNTIFS('Kế hoạch'!$G$5:$G$109,A8,'Kế hoạch'!$J$5:$J$109,"Hoàn thành")</f>
        <v>0</v>
      </c>
      <c r="D8" s="7">
        <f>COUNTIFS('Kế hoạch'!$G$5:$G$109,A8,'Kế hoạch'!$J$5:$J$109,"Đang làm")</f>
        <v>0</v>
      </c>
      <c r="E8" s="7">
        <f>COUNTIFS('Kế hoạch'!$G$5:$G$109,A8,'Kế hoạch'!$J$5:$J$109,"Trễ hạn")</f>
        <v>0</v>
      </c>
      <c r="F8" s="34">
        <f>IFERROR(C8/B8,0)</f>
        <v>0</v>
      </c>
      <c r="G8" s="34">
        <f>IFERROR(AVERAGEIF('Kế hoạch'!$G$5:$G$109,A8,'Kế hoạch'!$K$5:$K$109),0)</f>
        <v>0</v>
      </c>
      <c r="H8" s="7">
        <f>COUNTIF('Kế hoạch'!$H$5:$H$109,A8)</f>
        <v>18</v>
      </c>
    </row>
    <row r="9" spans="1:8" x14ac:dyDescent="0.2">
      <c r="A9" s="27" t="s">
        <v>394</v>
      </c>
      <c r="B9" s="35">
        <f>SUM(B5:B8)</f>
        <v>55</v>
      </c>
      <c r="C9" s="35">
        <f>SUM(C5:C8)</f>
        <v>21</v>
      </c>
      <c r="D9" s="35">
        <f>SUM(D5:D8)</f>
        <v>3</v>
      </c>
      <c r="E9" s="35">
        <f>SUM(E5:E8)</f>
        <v>0</v>
      </c>
      <c r="F9" s="36">
        <f>IFERROR(C9/B9,0)</f>
        <v>0.38181818181818183</v>
      </c>
      <c r="G9" s="36">
        <f>IFERROR(AVERAGE('Kế hoạch'!$K$5:$K$109),0)</f>
        <v>0.40727272727272729</v>
      </c>
      <c r="H9" s="35">
        <f>SUM(H5:H8)</f>
        <v>55</v>
      </c>
    </row>
    <row r="12" spans="1:8" ht="16" customHeight="1" x14ac:dyDescent="0.2">
      <c r="A12" s="5" t="s">
        <v>395</v>
      </c>
    </row>
    <row r="13" spans="1:8" ht="28" customHeight="1" x14ac:dyDescent="0.2">
      <c r="A13" s="6" t="s">
        <v>6</v>
      </c>
      <c r="B13" s="6" t="s">
        <v>396</v>
      </c>
      <c r="C13" s="6" t="s">
        <v>30</v>
      </c>
      <c r="D13" s="6" t="s">
        <v>12</v>
      </c>
    </row>
    <row r="14" spans="1:8" x14ac:dyDescent="0.2">
      <c r="A14" s="9" t="s">
        <v>15</v>
      </c>
      <c r="B14" s="9">
        <f>COUNTIF('Kế hoạch'!$E$5:$E$109,A14)</f>
        <v>10</v>
      </c>
      <c r="C14" s="9">
        <f>COUNTIFS('Kế hoạch'!$E$5:$E$109,A14,'Kế hoạch'!$J$5:$J$109,"Hoàn thành")</f>
        <v>8</v>
      </c>
      <c r="D14" s="37">
        <f>IFERROR(C14/B14,0)</f>
        <v>0.8</v>
      </c>
    </row>
    <row r="15" spans="1:8" x14ac:dyDescent="0.2">
      <c r="A15" s="11" t="s">
        <v>62</v>
      </c>
      <c r="B15" s="11">
        <f>COUNTIF('Kế hoạch'!$E$5:$E$109,A15)</f>
        <v>7</v>
      </c>
      <c r="C15" s="11">
        <f>COUNTIFS('Kế hoạch'!$E$5:$E$109,A15,'Kế hoạch'!$J$5:$J$109,"Hoàn thành")</f>
        <v>7</v>
      </c>
      <c r="D15" s="38">
        <f>IFERROR(C15/B15,0)</f>
        <v>1</v>
      </c>
    </row>
    <row r="16" spans="1:8" x14ac:dyDescent="0.2">
      <c r="A16" s="13" t="s">
        <v>90</v>
      </c>
      <c r="B16" s="13">
        <f>COUNTIF('Kế hoạch'!$E$5:$E$109,A16)</f>
        <v>14</v>
      </c>
      <c r="C16" s="13">
        <f>COUNTIFS('Kế hoạch'!$E$5:$E$109,A16,'Kế hoạch'!$J$5:$J$109,"Hoàn thành")</f>
        <v>3</v>
      </c>
      <c r="D16" s="39">
        <f>IFERROR(C16/B16,0)</f>
        <v>0.21428571428571427</v>
      </c>
    </row>
    <row r="17" spans="1:4" x14ac:dyDescent="0.2">
      <c r="A17" s="15" t="s">
        <v>133</v>
      </c>
      <c r="B17" s="15">
        <f>COUNTIF('Kế hoạch'!$E$5:$E$109,A17)</f>
        <v>15</v>
      </c>
      <c r="C17" s="15">
        <f>COUNTIFS('Kế hoạch'!$E$5:$E$109,A17,'Kế hoạch'!$J$5:$J$109,"Hoàn thành")</f>
        <v>3</v>
      </c>
      <c r="D17" s="40">
        <f>IFERROR(C17/B17,0)</f>
        <v>0.2</v>
      </c>
    </row>
    <row r="18" spans="1:4" x14ac:dyDescent="0.2">
      <c r="A18" s="17" t="s">
        <v>179</v>
      </c>
      <c r="B18" s="17">
        <f>COUNTIF('Kế hoạch'!$E$5:$E$109,A18)</f>
        <v>9</v>
      </c>
      <c r="C18" s="17">
        <f>COUNTIFS('Kế hoạch'!$E$5:$E$109,A18,'Kế hoạch'!$J$5:$J$109,"Hoàn thành")</f>
        <v>0</v>
      </c>
      <c r="D18" s="41">
        <f>IFERROR(C18/B18,0)</f>
        <v>0</v>
      </c>
    </row>
    <row r="20" spans="1:4" x14ac:dyDescent="0.2">
      <c r="A20" s="2" t="s">
        <v>397</v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quan</vt:lpstr>
      <vt:lpstr>Kế hoạch</vt:lpstr>
      <vt:lpstr>Mảng nghiệp vụ</vt:lpstr>
      <vt:lpstr>Viết báo cáo</vt:lpstr>
      <vt:lpstr>Báo cáo tuần</vt:lpstr>
      <vt:lpstr>Thống kê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Khoi Le</cp:lastModifiedBy>
  <dcterms:created xsi:type="dcterms:W3CDTF">2026-10-07T14:25:36Z</dcterms:created>
  <dcterms:modified xsi:type="dcterms:W3CDTF">2026-10-27T13:07:25Z</dcterms:modified>
</cp:coreProperties>
</file>