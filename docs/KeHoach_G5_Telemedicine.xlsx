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9F01E9CA-2B7C-5143-AC4B-D6047880E334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B17" i="6"/>
  <c r="C16" i="6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6" i="6" l="1"/>
  <c r="D17" i="6"/>
  <c r="D14" i="6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<sst xmlns="http://schemas.openxmlformats.org/spreadsheetml/2006/main" count="678" uniqueCount="387">
  <si>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</si>
  <si>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</si>
  <si>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</si>
  <si>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</si>
  <si>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</si>
  <si>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</si>
  <si>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</si>
  <si>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</si>
  <si>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</si>
  <si>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</si>
  <si>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</si>
  <si>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</si>
  <si>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</si>
  <si>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</si>
  <si>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</si>
  <si>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</si>
  <si>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</si>
  <si>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</si>
  <si>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</si>
  <si>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</si>
  <si>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</si>
  <si>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</si>
  <si>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</si>
  <si>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</si>
  <si>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</si>
  <si>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</si>
  <si>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</si>
  <si>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</si>
  <si>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</si>
  <si>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</si>
  <si>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</si>
  <si>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</si>
  <si>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</si>
  <si>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</si>
  <si>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</si>
  <si>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</si>
  <si>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</si>
  <si>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</si>
  <si>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</si>
  <si>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</si>
  <si>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</si>
  <si>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</si>
  <si>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</si>
  <si>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</si>
  <si>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</si>
  <si>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</si>
  <si>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</si>
  <si>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</si>
  <si>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</si>
  <si>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</si>
  <si>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</si>
  <si>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</si>
  <si>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</si>
  <si>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</si>
  <si>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</si>
  <si>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</si>
  <si>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</si>
  <si>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</si>
  <si>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</si>
  <si>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</si>
  <si>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</si>
  <si>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</si>
  <si>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</si>
  <si>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</si>
  <si>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</si>
  <si>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</si>
  <si>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</si>
  <si>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</si>
  <si>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</si>
  <si>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</si>
  <si>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</si>
  <si>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</si>
  <si>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</si>
  <si>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</si>
  <si>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</si>
  <si>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</si>
  <si>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</si>
  <si>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</si>
  <si>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</si>
  <si>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</si>
  <si>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</si>
  <si>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</si>
  <si>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</si>
  <si>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</si>
  <si>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</si>
  <si>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</si>
  <si>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</si>
  <si>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</si>
  <si>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</si>
  <si>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</si>
  <si>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</si>
  <si>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</si>
  <si>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</si>
  <si>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</si>
  <si>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</si>
  <si>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</si>
  <si>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</si>
  <si>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</si>
  <si>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</si>
  <si>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</si>
  <si>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</si>
  <si>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</si>
  <si>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</si>
  <si>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</si>
  <si>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</si>
  <si>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</si>
  <si>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</si>
  <si>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</si>
  <si>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</si>
  <si>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</si>
  <si>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</si>
  <si>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</si>
  <si>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</si>
  <si>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</si>
  <si>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</si>
  <si>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</si>
  <si>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</si>
  <si>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</si>
  <si>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</si>
  <si>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</si>
  <si>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</si>
  <si>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</si>
  <si>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</si>
  <si>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</si>
  <si>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</si>
  <si>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</si>
  <si>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</si>
  <si>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</si>
  <si>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</si>
  <si>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</si>
  <si>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</si>
  <si>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</si>
  <si>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</si>
  <si>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</si>
  <si>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</si>
  <si>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</si>
  <si>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</si>
  <si>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</si>
  <si>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</si>
  <si>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</si>
  <si>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</si>
  <si>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</si>
  <si>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</si>
  <si>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</si>
  <si>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</si>
  <si>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</si>
  <si>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</si>
  <si>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</si>
  <si>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</si>
  <si>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</si>
  <si>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</si>
  <si>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</si>
  <si>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</si>
  <si>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</si>
  <si>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</si>
  <si>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</si>
  <si>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</si>
  <si>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</si>
  <si>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</si>
  <si>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</si>
  <si>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</si>
  <si>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</si>
  <si>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</si>
  <si>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</si>
  <si>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</si>
  <si>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</si>
  <si>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</si>
  <si>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</si>
  <si>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</si>
  <si>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</si>
  <si>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</si>
  <si>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</si>
  <si>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</si>
  <si>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</si>
  <si>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</si>
  <si>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</si>
  <si>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</si>
  <si>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</si>
  <si>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</si>
  <si>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</si>
  <si>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</si>
  <si>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</si>
  <si>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</si>
  <si>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</si>
  <si>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</si>
  <si>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</si>
  <si>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</si>
  <si>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</si>
  <si>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</si>
  <si>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</si>
  <si>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</si>
  <si>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</si>
  <si>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</si>
  <si>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</si>
  <si>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</si>
  <si>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</si>
  <si>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</si>
  <si>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</si>
  <si>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</si>
  <si>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</si>
  <si>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</si>
  <si>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</si>
  <si>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</si>
  <si>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</si>
  <si>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</si>
  <si>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</si>
  <si>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</si>
  <si>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</si>
  <si>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</si>
  <si>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</si>
  <si>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</si>
  <si>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</si>
  <si>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</si>
  <si>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</si>
  <si>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</si>
  <si>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</si>
  <si>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</si>
  <si>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</si>
  <si>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</si>
  <si>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</si>
  <si>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</si>
  <si>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</si>
  <si>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</si>
  <si>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</si>
  <si>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</si>
  <si>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</si>
  <si>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</si>
  <si>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</si>
  <si>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</si>
  <si>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</si>
  <si>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</si>
  <si>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</si>
  <si>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</si>
  <si>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</si>
  <si>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</si>
  <si>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</si>
  <si>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</si>
  <si>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</si>
  <si>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</si>
  <si>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</si>
  <si>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</si>
  <si>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</si>
  <si>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</si>
  <si>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</si>
  <si>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</si>
  <si>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</si>
  <si>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</si>
  <si>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</si>
  <si>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</si>
  <si>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</si>
  <si>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</si>
  <si>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</si>
  <si>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</si>
  <si>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</si>
  <si>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</si>
  <si>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</si>
  <si>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</si>
  <si>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</si>
  <si>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</si>
  <si>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</si>
  <si>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</si>
  <si>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</si>
  <si>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</si>
  <si>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</si>
  <si>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</si>
  <si>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</si>
  <si>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</si>
  <si>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</si>
  <si>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</si>
  <si>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</si>
  <si>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</si>
  <si>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</si>
  <si>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</si>
  <si>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</si>
  <si>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</si>
  <si>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</si>
  <si>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</si>
  <si>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</si>
  <si>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</si>
  <si>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</si>
  <si>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</si>
  <si>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</si>
  <si>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</si>
  <si>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</si>
  <si>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</si>
  <si>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</si>
  <si>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</si>
  <si>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</si>
  <si>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</si>
  <si>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</si>
  <si>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</si>
  <si>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</si>
  <si>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</si>
  <si>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</si>
  <si>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</si>
  <si>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</si>
  <si>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</si>
  <si>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</si>
  <si>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</si>
  <si>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</si>
  <si>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</si>
  <si>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</si>
  <si>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</si>
  <si>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</si>
  <si>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</si>
  <si>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</si>
  <si>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</si>
  <si>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</si>
  <si>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</si>
  <si>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</si>
  <si>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</si>
  <si>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</si>
  <si>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</si>
  <si>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</si>
  <si>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</si>
  <si>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</si>
  <si>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</si>
  <si>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</si>
  <si>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</si>
  <si>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</si>
  <si>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</si>
  <si>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</si>
  <si>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</si>
  <si>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</si>
  <si>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</si>
  <si>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</si>
  <si>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</si>
  <si>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</si>
  <si>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</si>
  <si>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</si>
  <si>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</si>
  <si>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</si>
  <si>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</si>
  <si>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</si>
  <si>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</si>
  <si>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</si>
  <si>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</si>
  <si>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</si>
  <si>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</si>
  <si>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</si>
  <si>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</si>
  <si>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</si>
  <si>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</si>
  <si>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</si>
  <si>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</si>
  <si>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</si>
  <si>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</si>
  <si>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</si>
  <si>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</si>
  <si>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</si>
  <si>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</si>
  <si>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</si>
  <si>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</si>
  <si>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</si>
  <si>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</si>
  <si>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</si>
  <si>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</si>
  <si>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</si>
  <si>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</si>
  <si>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</si>
  <si>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</si>
  <si>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</si>
  <si>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</si>
  <si>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</si>
  <si>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</si>
  <si>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</si>
  <si>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</si>
  <si>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</si>
  <si>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</si>
  <si>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</si>
  <si>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</si>
  <si>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Repo + cấu trúc thư mục + README xong; máy Khôi đã cài PG16 + draw.io. Chờ Hữu Khoa, Đăng Khoa cài theo README và báo lại</t>
  </si>
  <si>
    <t>docs/khao-sat/T03_KhaoSat_MangB.md – chờ Đăng Khoa review</t>
  </si>
  <si>
    <t>docs/br/T08_BR_MangB.md (BR-B01…B11) – chờ Hữu Khoa review, xác nhận phụ thuộc mảng A</t>
  </si>
  <si>
    <t>Đã điền mục 1, 1.1 vào docs/INT1313_TX_G5_DeTai05_Telemedicine_v0.docx – chờ Hữu Khoa review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</si>
  <si>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</si>
  <si>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</si>
  <si>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</si>
  <si>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</si>
  <si>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 xml:space="preserve">docs/khao-sat/T05_KhaoSat_MangC.md – chờ Hữu Khoa review</t>
  </si>
  <si>
    <t xml:space="preserve">docs/br/T09_BR_MangC.md – Khôi review 14/10, cần sửa: (1) LAN_KHAM bỏ ma_bn, ma_bac_si; DON_THUOC bỏ ma_bac_si_ke (3NF); (2) BR-C02 dẫn BR-B05; (3) định nghĩa "dị ứng còn hiệu lực"; (4) BR-C03 dựa BR-C05 để chặn xóa chẩn đoán. Thêm tên trigger theo v0, TC-06, mục phụ thuộc A/B. Đề xuất chốt: 1 hồ sơ/BN; lần khám chỉ tạo khi lịch HOAN_THANH; liều lưu văn bản; chặn DELETE 5 bảng bệnh án; chỉ kiểm tra dị ứng khi kê.</t>
  </si>
  <si>
    <t xml:space="preserve">docs/INT1313_TX_G5_DeTai05_Telemedicine_v1.docx: đã gộp mục 1.2 (BR-A01…A08 theo review, giữ A01–A04 như v0; BR-B01…B11; BR-C01…C05) và 1.2.4. Còn: Hữu Khoa, Đăng Khoa xác nhận 1.2.1/1.2.3; Hữu Khoa review mảng B; điền ngày nộp; nộp v1 + báo cáo tiến độ. Lưu ý 4.1.4: trg_lich_hen_hop_le ghi BR-B01, B02 nhưng theo T08 là BR-B01, B03 (B02 dùng EXCLUDE).</t>
  </si>
  <si>
    <t xml:space="preserve">docs/br/BR_MangA.md – Khôi review 14/10, cần sửa: (1) giữ BR-A01…A04 như v0 (MT-01, TC-03, 4.1.4 đang dùng), quy tắc mới đánh từ A05; (2) bỏ các quy tắc chỉ là PK/FK, đưa sang từ điển dữ liệu; (3) định nghĩa cụ thể: ca còn hiệu lực = trạng thái khác HUY, chứng chỉ còn hạn = ngày hết hạn ≥ ngày kết thúc ca; (4) A13 → không sửa/hủy ca nếu làm lịch hẹn còn hiệu lực rơi ra ngoài ca; (5) bỏ A12 (lịch hẹn không có cột chuyên khoa); (6) đề xuất mỗi BS chuyên khoa thuộc đúng 1 chuyên khoa; ca chồng giờ dùng EXCLUDE như BR-B02. Đổi tên T07_BR_MangA.md, gọn theo dạng T08. T04 (khảo sát mảng A) chưa có.</t>
  </si>
  <si>
    <t xml:space="preserve">T10: review chéo BR mảng A (BR_MangA.md) và C (T09), ghi điểm cần sửa vào kế hoạch; gộp mục 1.2 + 1.2.4 vào báo cáo v1 (docx đổi tên _v1)</t>
  </si>
  <si>
    <t xml:space="preserve">T10: chốt 1.2 với Hữu Khoa, Đăng Khoa, nộp v1 + báo cáo tiến độ. T12: vẽ ER/EER mảng B</t>
  </si>
  <si>
    <t xml:space="preserve">Hữu Khoa: xác nhận BR-A01…A08 theo review (giữ số hiệu v0), review BR mảng B
Đăng Khoa: sửa T09 theo review</t>
  </si>
  <si>
    <t xml:space="preserve">docs/INT1313_TX_G5_DeTai05_Telemedicine_v1.docx
docs/KeHoach_G5_Telemedicine.xlsx
nhánh member/Khoi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</si>
</sst>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7">
    <dxf>
      <font>
        <color rgb="FF808080"/>
      </font>
    </dxf>
    <dxf>
      <font>
        <color rgb="FF808080"/>
      </font>
    </dxf>
    <dxf>
      <font>
        <color rgb="FF808080"/>
      </font>
    </dxf>
    <dxf>
      <font>
        <strike/>
        <color rgb="FF808080"/>
      </font>
    </dxf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L16" sqref="L16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70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s">
        <v>362</v>
      </c>
      <c r="K6" s="21">
        <v>0.8</v>
      </c>
      <c r="L6" s="22" t="s">
        <v>371</v>
      </c>
    </row>
    <row r="7" spans="1:12" ht="42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s">
        <v>361</v>
      </c>
      <c r="K7" s="21">
        <v>1</v>
      </c>
      <c r="L7" s="22" t="s">
        <v>372</v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ht="42" customHeight="1" spans="1:12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361</v>
      </c>
      <c r="K9" s="21">
        <v>1</v>
      </c>
      <c r="L9" s="22" t="s">
        <v>379</v>
      </c>
    </row>
    <row r="10" spans="1:12" ht="56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361</v>
      </c>
      <c r="K10" s="21">
        <v>1</v>
      </c>
      <c r="L10" s="22" t="s">
        <v>374</v>
      </c>
    </row>
    <row r="11" ht="330" customHeight="1" spans="1:12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362</v>
      </c>
      <c r="K11" s="21">
        <v>0.7</v>
      </c>
      <c r="L11" s="22" t="s">
        <v>382</v>
      </c>
    </row>
    <row r="12" spans="1:12" ht="56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361</v>
      </c>
      <c r="K12" s="21">
        <v>1</v>
      </c>
      <c r="L12" s="22" t="s">
        <v>373</v>
      </c>
    </row>
    <row r="13" ht="230" customHeight="1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362</v>
      </c>
      <c r="K13" s="21">
        <v>0.9</v>
      </c>
      <c r="L13" s="22" t="s">
        <v>380</v>
      </c>
    </row>
    <row r="14" ht="200" customHeight="1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362</v>
      </c>
      <c r="K14" s="21">
        <v>0.8</v>
      </c>
      <c r="L14" s="22" t="s">
        <v>381</v>
      </c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6" priority="1" operator="equal">
      <formula>"Hoàn thành"</formula>
    </cfRule>
    <cfRule type="cellIs" dxfId="5" priority="2" operator="equal">
      <formula>"Đang làm"</formula>
    </cfRule>
    <cfRule type="cellIs" dxfId="4" priority="3" operator="equal">
      <formula>"Trễ hạn"</formula>
    </cfRule>
  </conditionalFormatting>
  <conditionalFormatting sqref="F5:F109">
    <cfRule type="expression" dxfId="3" priority="5" stopIfTrue="1">
      <formula>$J5="Hoàn thành"</formula>
    </cfRule>
  </conditionalFormatting>
  <conditionalFormatting sqref="A5:E109">
    <cfRule type="expression" dxfId="2" priority="6" stopIfTrue="1">
      <formula>$J5="Hoàn thành"</formula>
    </cfRule>
  </conditionalFormatting>
  <conditionalFormatting sqref="G5:I109">
    <cfRule type="expression" dxfId="1" priority="7" stopIfTrue="1">
      <formula>$J5="Hoàn thành"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361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361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361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362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98" x14ac:dyDescent="0.2">
      <c r="A6" s="20">
        <v>1</v>
      </c>
      <c r="B6" s="31">
        <v>46303</v>
      </c>
      <c r="C6" s="20" t="s">
        <v>11</v>
      </c>
      <c r="D6" s="22" t="s">
        <v>375</v>
      </c>
      <c r="E6" s="22" t="s">
        <v>376</v>
      </c>
      <c r="F6" s="22" t="s">
        <v>377</v>
      </c>
      <c r="G6" s="22" t="s">
        <v>378</v>
      </c>
    </row>
    <row r="7" spans="1:7" ht="98" customHeight="1" x14ac:dyDescent="0.2">
      <c r="A7" s="20">
        <v>2</v>
      </c>
      <c r="B7" s="31">
        <v>46309</v>
      </c>
      <c r="C7" s="20" t="s">
        <v>11</v>
      </c>
      <c r="D7" s="22" t="s">
        <v>383</v>
      </c>
      <c r="E7" s="22" t="s">
        <v>384</v>
      </c>
      <c r="F7" s="22" t="s">
        <v>385</v>
      </c>
      <c r="G7" s="22" t="s">
        <v>386</v>
      </c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3</v>
      </c>
      <c r="D5" s="7">
        <f>COUNTIFS('Kế hoạch'!$G$5:$G$109,A5,'Kế hoạch'!$J$5:$J$109,"Đang làm")</f>
        <v>1</v>
      </c>
      <c r="E5" s="7">
        <f>COUNTIFS('Kế hoạch'!$G$5:$G$109,A5,'Kế hoạch'!$J$5:$J$109,"Trễ hạn")</f>
        <v>0</v>
      </c>
      <c r="F5" s="34">
        <f>IFERROR(C5/B5,0)</f>
        <v>0.15789473684210525</v>
      </c>
      <c r="G5" s="34">
        <f>IFERROR(AVERAGEIF('Kế hoạch'!$G$5:$G$109,A5,'Kế hoạch'!$K$5:$K$109),0)</f>
        <v>0.19999999999999998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3</v>
      </c>
      <c r="D9" s="35">
        <f>SUM(D5:D8)</f>
        <v>1</v>
      </c>
      <c r="E9" s="35">
        <f>SUM(E5:E8)</f>
        <v>0</v>
      </c>
      <c r="F9" s="36">
        <f>IFERROR(C9/B9,0)</f>
        <v>5.4545454545454543E-2</v>
      </c>
      <c r="G9" s="36">
        <f>IFERROR(AVERAGE('Kế hoạch'!$K$5:$K$109),0)</f>
        <v>6.9090909090909092E-2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3</v>
      </c>
      <c r="D14" s="37">
        <f>IFERROR(C14/B14,0)</f>
        <v>0.3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2026-10-08T15:26:29Z</dcterms:modified>
</cp:coreProperties>
</file>