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3F88FD1E-811B-A04B-A405-3BB62743EB9D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4" i="6" l="1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<sst xmlns="http://schemas.openxmlformats.org/spreadsheetml/2006/main" count="659" uniqueCount="371">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</sst>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3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F14" sqref="F14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28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inlineStr">
        <is>
          <t>Đang làm</t>
        </is>
      </c>
      <c r="K6" s="21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spans="1:12" ht="28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inlineStr">
        <is>
          <t>Hoàn thành</t>
        </is>
      </c>
      <c r="K7" s="21">
        <v>1</v>
      </c>
      <c r="L7" s="22" t="inlineStr">
        <is>
          <t>docs/khao-sat/T03_KhaoSat_MangB.md – chờ Đăng Khoa review</t>
        </is>
      </c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spans="1:12" ht="28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98</v>
      </c>
      <c r="K9" s="21">
        <v>0</v>
      </c>
      <c r="L9" s="22"/>
    </row>
    <row r="10" spans="1:12" ht="28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98</v>
      </c>
      <c r="K10" s="21">
        <v>0</v>
      </c>
      <c r="L10" s="22"/>
    </row>
    <row r="11" spans="1:12" ht="28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98</v>
      </c>
      <c r="K11" s="21">
        <v>0</v>
      </c>
      <c r="L11" s="22"/>
    </row>
    <row r="12" spans="1:12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s">
        <v>98</v>
      </c>
      <c r="K12" s="21">
        <v>0</v>
      </c>
      <c r="L12" s="22"/>
    </row>
    <row r="13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98</v>
      </c>
      <c r="K13" s="21">
        <v>0</v>
      </c>
      <c r="L13" s="22"/>
    </row>
    <row r="14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98</v>
      </c>
      <c r="K14" s="21">
        <v>0</v>
      </c>
      <c r="L14" s="22"/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98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98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98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98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ht="84" customHeight="1" x14ac:dyDescent="0.2">
      <c r="A6" s="20">
        <v>1</v>
      </c>
      <c r="B6" s="31">
        <v>46303</v>
      </c>
      <c r="C6" s="20" t="inlineStr">
        <is>
          <t>Khôi</t>
        </is>
      </c>
      <c r="D6" s="22" t="inlineStr">
        <is>
          <t>T02: cấu trúc repo (docs, erd, sql, app), README cài PostgreSQL 16 + draw.io, .gitignore; gỡ giáo trình và danh sách SV khỏi repo public. T03: khảo sát quy trình đặt lịch, khám trực tiếp, tư vấn từ xa, chuyển chuyên khoa, thanh toán (Medpro, YouMed, BookingCare); đề xuất 6 thực thể, trạng thái lịch hẹn, BR-B01…B07 cho mảng B</t>
        </is>
      </c>
      <c r="E6" s="22" t="inlineStr">
        <is>
          <t>T06: viết mục 1, 1.1. T08: chốt BR-B. T10: tổng hợp, nộp báo cáo v1</t>
        </is>
      </c>
      <c r="F6" s="22" t="inlineStr">
        <is>
          <t>Cần nhóm chốt: (1) lưu giờ hẹn dạng khoảng thời gian + EXCLUDE hay bảng khung giờ; (2) BR-B03 có miễn tái khám không; (3) bỏ BAO_HIEM_Y_TE khỏi mảng B</t>
        </is>
      </c>
      <c r="G6" s="22" t="inlineStr">
        <is>
          <t>https://github.com/khoiln218/telemedicine/blob/main/docs/khao-sat/T03_KhaoSat_MangB.md</t>
        </is>
      </c>
    </row>
    <row r="7" spans="1:7" x14ac:dyDescent="0.2">
      <c r="A7" s="20"/>
      <c r="B7" s="31"/>
      <c r="C7" s="20"/>
      <c r="D7" s="22"/>
      <c r="E7" s="22"/>
      <c r="F7" s="22"/>
      <c r="G7" s="22"/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0</v>
      </c>
      <c r="D5" s="7">
        <f>COUNTIFS('Kế hoạch'!$G$5:$G$109,A5,'Kế hoạch'!$J$5:$J$109,"Đang làm")</f>
        <v>0</v>
      </c>
      <c r="E5" s="7">
        <f>COUNTIFS('Kế hoạch'!$G$5:$G$109,A5,'Kế hoạch'!$J$5:$J$109,"Trễ hạn")</f>
        <v>0</v>
      </c>
      <c r="F5" s="34">
        <f>IFERROR(C5/B5,0)</f>
        <v>0</v>
      </c>
      <c r="G5" s="34">
        <f>IFERROR(AVERAGEIF('Kế hoạch'!$G$5:$G$109,A5,'Kế hoạch'!$K$5:$K$109),0)</f>
        <v>0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0</v>
      </c>
      <c r="D9" s="35">
        <f>SUM(D5:D8)</f>
        <v>0</v>
      </c>
      <c r="E9" s="35">
        <f>SUM(E5:E8)</f>
        <v>0</v>
      </c>
      <c r="F9" s="36">
        <f>IFERROR(C9/B9,0)</f>
        <v>0</v>
      </c>
      <c r="G9" s="36">
        <f>IFERROR(AVERAGE('Kế hoạch'!$K$5:$K$109),0)</f>
        <v>0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0</v>
      </c>
      <c r="D14" s="37">
        <f>IFERROR(C14/B14,0)</f>
        <v>0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2026-10-07T14:36:13Z</dcterms:modified>
</cp:coreProperties>
</file>