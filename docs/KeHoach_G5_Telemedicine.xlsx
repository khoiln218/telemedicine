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E9CFF579-AB18-5649-B41A-DEC5A05561E0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<sst xmlns="http://schemas.openxmlformats.org/spreadsheetml/2006/main" count="700" uniqueCount="408">
  <si>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</si>
  <si>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</si>
  <si>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</si>
  <si>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</si>
  <si>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</si>
  <si>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</si>
  <si>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</si>
  <si>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</si>
  <si>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</si>
  <si>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</si>
  <si>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</si>
  <si>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</si>
  <si>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</si>
  <si>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</si>
  <si>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</si>
  <si>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</si>
  <si>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</si>
  <si>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</si>
  <si>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</si>
  <si>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</si>
  <si>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</si>
  <si>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</si>
  <si>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</si>
  <si>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</si>
  <si>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</si>
  <si>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</si>
  <si>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</si>
  <si>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</si>
  <si>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</si>
  <si>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</si>
  <si>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</si>
  <si>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</si>
  <si>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</si>
  <si>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</si>
  <si>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</si>
  <si>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</si>
  <si>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</si>
  <si>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</si>
  <si>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</si>
  <si>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</si>
  <si>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</si>
  <si>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</si>
  <si>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</si>
  <si>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</si>
  <si>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</si>
  <si>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</si>
  <si>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</si>
  <si>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</si>
  <si>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</si>
  <si>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</si>
  <si>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</si>
  <si>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</si>
  <si>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</si>
  <si>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</si>
  <si>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</si>
  <si>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</si>
  <si>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</si>
  <si>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</si>
  <si>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</si>
  <si>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</si>
  <si>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</si>
  <si>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</si>
  <si>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</si>
  <si>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</si>
  <si>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</si>
  <si>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</si>
  <si>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</si>
  <si>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</si>
  <si>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</si>
  <si>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</si>
  <si>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</si>
  <si>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</si>
  <si>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</si>
  <si>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</si>
  <si>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</si>
  <si>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</si>
  <si>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</si>
  <si>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</si>
  <si>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</si>
  <si>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</si>
  <si>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</si>
  <si>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</si>
  <si>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</si>
  <si>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</si>
  <si>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</si>
  <si>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</si>
  <si>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</si>
  <si>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</si>
  <si>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</si>
  <si>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</si>
  <si>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</si>
  <si>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</si>
  <si>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</si>
  <si>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</si>
  <si>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</si>
  <si>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</si>
  <si>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</si>
  <si>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</si>
  <si>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</si>
  <si>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</si>
  <si>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</si>
  <si>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</si>
  <si>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</si>
  <si>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</si>
  <si>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</si>
  <si>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</si>
  <si>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</si>
  <si>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</si>
  <si>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</si>
  <si>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</si>
  <si>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</si>
  <si>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</si>
  <si>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</si>
  <si>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</si>
  <si>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</si>
  <si>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</si>
  <si>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</si>
  <si>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</si>
  <si>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</si>
  <si>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</si>
  <si>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</si>
  <si>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</si>
  <si>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</si>
  <si>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</si>
  <si>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</si>
  <si>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</si>
  <si>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</si>
  <si>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</si>
  <si>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</si>
  <si>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</si>
  <si>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</si>
  <si>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</si>
  <si>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</si>
  <si>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</si>
  <si>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</si>
  <si>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</si>
  <si>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</si>
  <si>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</si>
  <si>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</si>
  <si>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</si>
  <si>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</si>
  <si>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</si>
  <si>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</si>
  <si>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</si>
  <si>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</si>
  <si>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</si>
  <si>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</si>
  <si>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</si>
  <si>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</si>
  <si>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</si>
  <si>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</si>
  <si>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</si>
  <si>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</si>
  <si>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</si>
  <si>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</si>
  <si>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</si>
  <si>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</si>
  <si>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</si>
  <si>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</si>
  <si>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</si>
  <si>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</si>
  <si>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</si>
  <si>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</si>
  <si>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</si>
  <si>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</si>
  <si>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</si>
  <si>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</si>
  <si>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</si>
  <si>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</si>
  <si>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</si>
  <si>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</si>
  <si>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</si>
  <si>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</si>
  <si>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</si>
  <si>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</si>
  <si>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</si>
  <si>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</si>
  <si>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</si>
  <si>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</si>
  <si>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</si>
  <si>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</si>
  <si>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</si>
  <si>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</si>
  <si>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</si>
  <si>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</si>
  <si>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</si>
  <si>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</si>
  <si>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</si>
  <si>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</si>
  <si>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</si>
  <si>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</si>
  <si>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</si>
  <si>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</si>
  <si>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</si>
  <si>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</si>
  <si>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</si>
  <si>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</si>
  <si>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</si>
  <si>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</si>
  <si>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</si>
  <si>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</si>
  <si>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</si>
  <si>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</si>
  <si>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</si>
  <si>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</si>
  <si>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</si>
  <si>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</si>
  <si>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</si>
  <si>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</si>
  <si>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</si>
  <si>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</si>
  <si>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</si>
  <si>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</si>
  <si>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</si>
  <si>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</si>
  <si>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</si>
  <si>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</si>
  <si>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</si>
  <si>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</si>
  <si>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</si>
  <si>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</si>
  <si>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</si>
  <si>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</si>
  <si>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</si>
  <si>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</si>
  <si>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</si>
  <si>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</si>
  <si>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</si>
  <si>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</si>
  <si>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</si>
  <si>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</si>
  <si>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</si>
  <si>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</si>
  <si>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</si>
  <si>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</si>
  <si>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</si>
  <si>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</si>
  <si>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</si>
  <si>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</si>
  <si>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</si>
  <si>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</si>
  <si>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</si>
  <si>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</si>
  <si>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</si>
  <si>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</si>
  <si>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</si>
  <si>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</si>
  <si>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</si>
  <si>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</si>
  <si>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</si>
  <si>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</si>
  <si>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</si>
  <si>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</si>
  <si>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</si>
  <si>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</si>
  <si>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</si>
  <si>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</si>
  <si>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</si>
  <si>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</si>
  <si>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</si>
  <si>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</si>
  <si>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</si>
  <si>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</si>
  <si>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</si>
  <si>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</si>
  <si>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</si>
  <si>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</si>
  <si>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</si>
  <si>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</si>
  <si>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</si>
  <si>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</si>
  <si>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</si>
  <si>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</si>
  <si>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</si>
  <si>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</si>
  <si>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</si>
  <si>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</si>
  <si>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</si>
  <si>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</si>
  <si>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</si>
  <si>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</si>
  <si>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</si>
  <si>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</si>
  <si>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</si>
  <si>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</si>
  <si>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</si>
  <si>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</si>
  <si>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</si>
  <si>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</si>
  <si>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</si>
  <si>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</si>
  <si>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</si>
  <si>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</si>
  <si>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</si>
  <si>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</si>
  <si>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</si>
  <si>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</si>
  <si>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</si>
  <si>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</si>
  <si>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</si>
  <si>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</si>
  <si>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</si>
  <si>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</si>
  <si>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</si>
  <si>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</si>
  <si>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</si>
  <si>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</si>
  <si>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</si>
  <si>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</si>
  <si>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</si>
  <si>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</si>
  <si>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</si>
  <si>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</si>
  <si>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</si>
  <si>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</si>
  <si>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</si>
  <si>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</si>
  <si>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</si>
  <si>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</si>
  <si>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</si>
  <si>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</si>
  <si>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</si>
  <si>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</si>
  <si>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</si>
  <si>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</si>
  <si>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</si>
  <si>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</si>
  <si>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</si>
  <si>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</si>
  <si>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</si>
  <si>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</si>
  <si>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</si>
  <si>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</si>
  <si>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</si>
  <si>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</si>
  <si>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</si>
  <si>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</si>
  <si>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</si>
  <si>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</si>
  <si>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</si>
  <si>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</si>
  <si>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</si>
  <si>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</si>
  <si>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</si>
  <si>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</si>
  <si>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</si>
  <si>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</si>
  <si>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</si>
  <si>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</si>
  <si>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</si>
  <si>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</si>
  <si>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</si>
  <si>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</si>
  <si>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</si>
  <si>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</si>
  <si>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</si>
  <si>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</si>
  <si>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</si>
  <si>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</si>
  <si>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</si>
  <si>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</si>
  <si>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</si>
  <si>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</si>
  <si>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</si>
  <si>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</si>
  <si>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</si>
  <si>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</si>
  <si>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</si>
  <si>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</si>
  <si>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</si>
  <si>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</si>
  <si>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</si>
  <si>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</si>
  <si>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</si>
  <si>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</si>
  <si>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</si>
  <si>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</si>
  <si>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</si>
  <si>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</si>
  <si>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</si>
  <si>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</si>
  <si>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</si>
  <si>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</si>
  <si>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</si>
  <si>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</si>
  <si>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</si>
  <si>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</si>
  <si>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</si>
  <si>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</si>
  <si>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</si>
  <si>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</si>
  <si>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</si>
  <si>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</si>
  <si>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</si>
  <si>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</si>
  <si>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</si>
  <si>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</si>
  <si>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</si>
  <si>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</si>
  <si>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</si>
  <si>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</si>
  <si>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</si>
  <si>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T21: review ánh xạ mảng C. T29: điền từ điển dữ liệu bảng mảng B</t>
  </si>
  <si>
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</si>
  <si>
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</si>
  <si>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</si>
  <si>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</t>
  </si>
  <si>
    <t>docs/5_anh-xa/T20_AnhXa_MangB.md
commit 78857c7, nhánh Khoi
docs/6_chuan-hoa/T24_FD_MangB.md
docs/6_chuan-hoa/T27_ChuanHoa_MangB.md
sql/B_schema.sql
sql/B_trigger_view.sql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</si>
</sst>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37" activePane="bottomRight" state="frozen"/>
      <selection pane="topRight"/>
      <selection pane="bottomLeft"/>
      <selection pane="bottomRight" activeCell="G41" sqref="G41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ht="126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30</v>
      </c>
      <c r="K24" s="21">
        <v>1</v>
      </c>
      <c r="L24" s="22" t="s">
        <v>399</v>
      </c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ht="98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30</v>
      </c>
      <c r="K28" s="21">
        <v>1</v>
      </c>
      <c r="L28" s="22" t="s">
        <v>400</v>
      </c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ht="98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30</v>
      </c>
      <c r="K31" s="21">
        <v>1</v>
      </c>
      <c r="L31" s="22" t="s">
        <v>401</v>
      </c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19</v>
      </c>
      <c r="K34" s="21">
        <v>0</v>
      </c>
      <c r="L34" s="22"/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ht="140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30</v>
      </c>
      <c r="K37" s="21">
        <v>1</v>
      </c>
      <c r="L37" s="22" t="s">
        <v>403</v>
      </c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30</v>
      </c>
      <c r="K41" s="21">
        <v>1</v>
      </c>
      <c r="L41" s="22" t="s">
        <v>404</v>
      </c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19</v>
      </c>
      <c r="K45" s="21">
        <v>0</v>
      </c>
      <c r="L45" s="22"/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24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24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ht="266" x14ac:dyDescent="0.2">
      <c r="A9" s="20">
        <v>4</v>
      </c>
      <c r="B9" s="31">
        <v>46322</v>
      </c>
      <c r="C9" s="20" t="s">
        <v>22</v>
      </c>
      <c r="D9" s="22" t="s">
        <v>405</v>
      </c>
      <c r="E9" s="22" t="s">
        <v>402</v>
      </c>
      <c r="F9" s="22" t="s">
        <v>406</v>
      </c>
      <c r="G9" s="22" t="s">
        <v>407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10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0.52631578947368418</v>
      </c>
      <c r="G5" s="34">
        <f>IFERROR(AVERAGEIF('Kế hoạch'!$G$5:$G$109,A5,'Kế hoạch'!$K$5:$K$109),0)</f>
        <v>0.61578947368421044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0.23529411764705882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19</v>
      </c>
      <c r="D9" s="35">
        <f>SUM(D5:D8)</f>
        <v>2</v>
      </c>
      <c r="E9" s="35">
        <f>SUM(E5:E8)</f>
        <v>0</v>
      </c>
      <c r="F9" s="36">
        <f>IFERROR(C9/B9,0)</f>
        <v>0.34545454545454546</v>
      </c>
      <c r="G9" s="36">
        <f>IFERROR(AVERAGE('Kế hoạch'!$K$5:$K$109),0)</f>
        <v>0.3763636363636364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2</v>
      </c>
      <c r="D17" s="40">
        <f>IFERROR(C17/B17,0)</f>
        <v>0.13333333333333333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2026-10-27T12:27:49Z</dcterms:modified>
</cp:coreProperties>
</file>